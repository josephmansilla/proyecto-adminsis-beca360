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frbautneduar-my.sharepoint.com/personal/jomansilla_frba_utn_edu_ar/Documents/04-Cuarto-Año-2026/Administracion-De-Sistemas-De-Información/TPA/Entregables/"/>
    </mc:Choice>
  </mc:AlternateContent>
  <xr:revisionPtr revIDLastSave="1" documentId="13_ncr:1_{617174F7-6146-45D2-B6B2-29507628CF45}" xr6:coauthVersionLast="47" xr6:coauthVersionMax="47" xr10:uidLastSave="{BBB1D01B-038F-43B4-9D0A-A5264127D9C7}"/>
  <bookViews>
    <workbookView xWindow="-28920" yWindow="5700" windowWidth="29040" windowHeight="15840" xr2:uid="{00000000-000D-0000-FFFF-FFFF00000000}"/>
  </bookViews>
  <sheets>
    <sheet name="DAR" sheetId="1" r:id="rId1"/>
    <sheet name="Ayud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 l="1"/>
  <c r="B16" i="1"/>
  <c r="K15" i="1"/>
  <c r="H15" i="1"/>
  <c r="E15" i="1"/>
  <c r="K14" i="1"/>
  <c r="H14" i="1"/>
  <c r="E14" i="1"/>
  <c r="K13" i="1"/>
  <c r="H13" i="1"/>
  <c r="E13" i="1"/>
  <c r="K12" i="1"/>
  <c r="H12" i="1"/>
  <c r="E12" i="1"/>
  <c r="K11" i="1"/>
  <c r="H11" i="1"/>
  <c r="E11" i="1"/>
  <c r="K9" i="1"/>
  <c r="I9" i="1"/>
  <c r="H9" i="1"/>
  <c r="F9" i="1"/>
  <c r="E9" i="1"/>
  <c r="C9" i="1"/>
  <c r="K16" i="1" l="1"/>
  <c r="E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Moreno Alcántara, Ana Isabel</author>
  </authors>
  <commentList>
    <comment ref="A16" authorId="0" shapeId="0" xr:uid="{00000000-0006-0000-0000-000001000000}">
      <text>
        <r>
          <rPr>
            <sz val="11"/>
            <color theme="1"/>
            <rFont val="Calibri"/>
            <family val="2"/>
            <scheme val="minor"/>
          </rPr>
          <t xml:space="preserve">La suma total debe ser 100
</t>
        </r>
      </text>
    </comment>
  </commentList>
</comments>
</file>

<file path=xl/sharedStrings.xml><?xml version="1.0" encoding="utf-8"?>
<sst xmlns="http://schemas.openxmlformats.org/spreadsheetml/2006/main" count="73" uniqueCount="67">
  <si>
    <t>MATRIZ DE EVALUACIÓN</t>
  </si>
  <si>
    <t>Proyecto:</t>
  </si>
  <si>
    <t>Beca360 — Plataforma Integral para la Gestión de Becas Académicas</t>
  </si>
  <si>
    <t>Fecha:</t>
  </si>
  <si>
    <t>02/07/2026</t>
  </si>
  <si>
    <t>Unidad:</t>
  </si>
  <si>
    <t>Área de Tecnología e Innovación</t>
  </si>
  <si>
    <t>Decisión:</t>
  </si>
  <si>
    <t>Selección de la estrategia de desarrollo de la plataforma Beca360</t>
  </si>
  <si>
    <t>Opción 1:</t>
  </si>
  <si>
    <t>Desarrollo a medida con equipo propio</t>
  </si>
  <si>
    <t>Opción 2:</t>
  </si>
  <si>
    <t>Adaptación de plataforma open-source existente</t>
  </si>
  <si>
    <t>Opción 3:</t>
  </si>
  <si>
    <t>Plataforma Low-Code / SaaS de terceros</t>
  </si>
  <si>
    <t>Opción 1</t>
  </si>
  <si>
    <t>Opción 2</t>
  </si>
  <si>
    <t>Opción 3</t>
  </si>
  <si>
    <t>CRITERIOS</t>
  </si>
  <si>
    <t>Peso</t>
  </si>
  <si>
    <t>Comentarios</t>
  </si>
  <si>
    <t>Puntuación</t>
  </si>
  <si>
    <t>Valor</t>
  </si>
  <si>
    <t>❖Técnico</t>
  </si>
  <si>
    <t>Arquitectura personalizada con máxima flexibilidad para implementar reglas de evaluación configurables por institución e integración nativa con sistemas como SIU Guaraní. Permite diseño cloud-native desde el inicio.</t>
  </si>
  <si>
    <t>La base open-source provee un punto de partida funcional, aunque las personalizaciones avanzadas (motor de reglas, APIs propias) pueden estar limitadas o encarecerse según la arquitectura base del proyecto elegido.</t>
  </si>
  <si>
    <t>Limitaciones significativas para implementar lógica de negocio compleja. La dependencia del vendor restringe la configuración de criterios institucionales y las integraciones con sistemas académicos legacy.</t>
  </si>
  <si>
    <t>❖Económico</t>
  </si>
  <si>
    <t>Mayor inversión inicial en RRHH especializados (arquitecto, desarrolladores senior, QA). Sin costos de licencias externas, pero el TCO a corto plazo es el más elevado del análisis.</t>
  </si>
  <si>
    <t>Eliminación de costos de licencias comerciales. La inversión se concentra en adaptación y mantenimiento del fork, con buena relación costo-beneficio a mediano plazo.</t>
  </si>
  <si>
    <t>Menor costo de desarrollo inicial, pero los costos recurrentes de licenciamiento y el riesgo de vendor lock-in elevan el TCO total a mediano y largo plazo.</t>
  </si>
  <si>
    <t>❖Plazo</t>
  </si>
  <si>
    <t>Requiere el mayor tiempo de desarrollo para alcanzar el MVP. Toda la arquitectura y funcionalidades se construyen desde cero, lo que implica mayor esfuerzo en diseño, construcción y testing.</t>
  </si>
  <si>
    <t>La plataforma base existente acelera el desarrollo inicial. El plazo final depende de la brecha entre las funcionalidades disponibles y los requisitos específicos de Beca360.</t>
  </si>
  <si>
    <t>Menor tiempo para obtener una versión funcional inicial. Ideal para validación rápida del concepto, aunque las personalizaciones avanzadas pueden extender el plazo en etapas posteriores.</t>
  </si>
  <si>
    <t>❖Escalabilidad</t>
  </si>
  <si>
    <t>Diseño cloud-native propio (microservicios, auto-scaling) permite optimizar la escalabilidad para absorber picos de postulaciones en convocatorias masivas y crecer hacia múltiples instituciones contratantes.</t>
  </si>
  <si>
    <t>La escalabilidad depende de la arquitectura de la plataforma base. Puede requerir refactorizaciones significativas si el diseño original no contempla carga institucional masiva.</t>
  </si>
  <si>
    <t>Escalabilidad restringida por los límites impuestos por el proveedor. Dificultad para soportar alto volumen de postulaciones simultáneas entre múltiples instituciones.</t>
  </si>
  <si>
    <t>❖Seguridad y Compliance</t>
  </si>
  <si>
    <t>Control total sobre cifrado, autenticación multifactor y protección de datos personales de estudiantes. Permite alineación precisa con Ley 25.326 y normativas de protección de datos vigentes.</t>
  </si>
  <si>
    <t>La seguridad depende del mantenimiento activo de la comunidad open-source y la aplicación oportuna de parches upstream. Requiere monitoreo constante de vulnerabilidades.</t>
  </si>
  <si>
    <t>Protección de datos bajo responsabilidad exclusiva del proveedor externo. Control limitado sobre el cumplimiento normativo específico del ámbito académico e institucional local.</t>
  </si>
  <si>
    <t>TOTAL</t>
  </si>
  <si>
    <t>Detalle de las alternativas</t>
  </si>
  <si>
    <t>Alternativa 1:</t>
  </si>
  <si>
    <t>Alternativa 2:</t>
  </si>
  <si>
    <t>Alternativa 2 — Adaptación de plataforma open-source (655 pts): Representa una alternativa viable a mediano plazo. La adaptación de una plataforma open-source reduce los costos de licenciamiento y acelera el desarrollo inicial, pero las restricciones en personalización avanzada del motor de reglas institucionales y la dependencia de la comunidad para actualizaciones de seguridad representan riesgos relevantes para una plataforma que gestiona datos sensibles de estudiantes. Se recomienda evaluar como alternativa secundaria si los recursos disponibles para la Alternativa 1 resultan insuficientes.</t>
  </si>
  <si>
    <t>Alternativa 3:</t>
  </si>
  <si>
    <t>Alternativa 3 — Plataforma Low-Code / SaaS de terceros (545 pts): Es la alternativa con menor puntaje. Si bien ofrece el menor tiempo de implementación y un costo de desarrollo inicial reducido, las restricciones técnicas para implementar lógica compleja de evaluación de becas, las limitaciones de escalabilidad ante convocatorias masivas y la alta dependencia del vendor no son compatibles con los objetivos estratégicos de Beca360 como plataforma SaaS institucional robusta. No se recomienda esta alternativa para el alcance definido en el proyecto.</t>
  </si>
  <si>
    <t>Ejemplos: Coste, plazo, calidad, riesgos, dependencias, interno, cambios, continuidad, etc.</t>
  </si>
  <si>
    <t>Criterios</t>
  </si>
  <si>
    <t xml:space="preserve">❖Técnicos             </t>
  </si>
  <si>
    <t>❖Económicos</t>
  </si>
  <si>
    <t>❖Financieros</t>
  </si>
  <si>
    <t>❖Solvencia</t>
  </si>
  <si>
    <t>❖Capacidad</t>
  </si>
  <si>
    <t>❖Idoneidad</t>
  </si>
  <si>
    <t>❖Experiencia</t>
  </si>
  <si>
    <t>❖Solidez</t>
  </si>
  <si>
    <t>PESO de los Criterios</t>
  </si>
  <si>
    <t>La suma de los pesos deberá ser 100</t>
  </si>
  <si>
    <t>Valoración de las Alternativas</t>
  </si>
  <si>
    <t>• de 0 a 4, valoración que se considera inconveniente o negativa.</t>
  </si>
  <si>
    <t>• 5, valoración que se estima como nula o no influyente.</t>
  </si>
  <si>
    <t>• de 6 a 10, valoración que se considera conveniente o positiva.</t>
  </si>
  <si>
    <t>Alternativa 1 — Desarrollo a medida con equipo propio (715 pts): es la alternativa recomendada y elegida. El mayor control sobre la arquitectura técnica, la capacidad de implementar reglas de evaluación configurables por institución y la escalabilidad cloud-native son los factores determinantes para el modelo SaaS institucional de Beca360. Si bien implica una mayor inversión inicial y un plazo de desarrollo más extenso, estos atributos son esenciales para sostener el crecimiento hacia múltiples organizaciones y garantizar la protección de datos sensibles de estudiantes con cumplimiento normativo 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</si>
</sst>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Arial"/>
      <family val="2"/>
    </font>
    <font>
      <sz val="11"/>
      <color theme="1"/>
      <name val="Arial"/>
      <family val="2"/>
    </font>
    <font>
      <sz val="10"/>
      <color theme="1"/>
      <name val="Arial"/>
      <family val="2"/>
    </font>
    <font>
      <b/>
      <sz val="10"/>
      <color theme="1"/>
      <name val="Arial"/>
      <family val="2"/>
    </font>
    <font>
      <b/>
      <sz val="14"/>
      <color theme="1"/>
      <name val="Neo Sans"/>
      <family val="2"/>
    </font>
    <font>
      <sz val="15"/>
      <color rgb="FF434343"/>
      <name val="Work Sans"/>
    </font>
  </fonts>
  <fills count="6">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thin">
        <color indexed="64"/>
      </left>
      <right/>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7">
    <xf numFmtId="0" fontId="0" fillId="0" borderId="0" xfId="0"/>
    <xf numFmtId="0" fontId="0" fillId="0" borderId="0" xfId="0" applyAlignment="1">
      <alignment horizontal="center" vertical="center"/>
    </xf>
    <xf numFmtId="0" fontId="1" fillId="0" borderId="0" xfId="0" applyFont="1" applyAlignment="1">
      <alignment horizontal="left" vertical="top"/>
    </xf>
    <xf numFmtId="0" fontId="3" fillId="0" borderId="0" xfId="0" applyFont="1"/>
    <xf numFmtId="0" fontId="3" fillId="0" borderId="2" xfId="0" applyFont="1" applyBorder="1"/>
    <xf numFmtId="0" fontId="3" fillId="0" borderId="0" xfId="0" applyFont="1" applyAlignment="1">
      <alignment horizontal="justify" vertical="center"/>
    </xf>
    <xf numFmtId="0" fontId="4" fillId="0" borderId="0" xfId="0" applyFont="1"/>
    <xf numFmtId="0" fontId="3" fillId="0" borderId="11" xfId="0" applyFont="1" applyBorder="1"/>
    <xf numFmtId="0" fontId="3" fillId="0" borderId="12" xfId="0" applyFont="1" applyBorder="1"/>
    <xf numFmtId="0" fontId="3" fillId="3" borderId="1" xfId="0" applyFont="1" applyFill="1" applyBorder="1"/>
    <xf numFmtId="1" fontId="4" fillId="3" borderId="1" xfId="0" applyNumberFormat="1" applyFont="1" applyFill="1" applyBorder="1"/>
    <xf numFmtId="0" fontId="3" fillId="0" borderId="0" xfId="0" applyFont="1" applyAlignment="1">
      <alignment wrapText="1"/>
    </xf>
    <xf numFmtId="0" fontId="2" fillId="0" borderId="13" xfId="0" applyFont="1" applyBorder="1"/>
    <xf numFmtId="0" fontId="2" fillId="0" borderId="0" xfId="0" applyFont="1"/>
    <xf numFmtId="0" fontId="1" fillId="3" borderId="1" xfId="0" applyFont="1" applyFill="1" applyBorder="1" applyAlignment="1">
      <alignment horizontal="right"/>
    </xf>
    <xf numFmtId="1" fontId="1" fillId="3" borderId="1" xfId="0" applyNumberFormat="1" applyFont="1" applyFill="1" applyBorder="1"/>
    <xf numFmtId="0" fontId="1" fillId="0" borderId="1" xfId="0" applyFont="1" applyBorder="1"/>
    <xf numFmtId="0" fontId="1" fillId="2" borderId="1" xfId="0" applyFont="1" applyFill="1" applyBorder="1" applyAlignment="1">
      <alignment horizontal="left" vertical="top"/>
    </xf>
    <xf numFmtId="0" fontId="1" fillId="2" borderId="4" xfId="0" applyFont="1" applyFill="1" applyBorder="1"/>
    <xf numFmtId="0" fontId="2" fillId="2" borderId="5" xfId="0" applyFont="1" applyFill="1" applyBorder="1"/>
    <xf numFmtId="0" fontId="4" fillId="2" borderId="5" xfId="0" applyFont="1" applyFill="1" applyBorder="1" applyAlignment="1">
      <alignment horizontal="center" vertical="center"/>
    </xf>
    <xf numFmtId="0" fontId="4" fillId="0" borderId="12" xfId="0" applyFont="1" applyBorder="1" applyAlignment="1">
      <alignment horizontal="center"/>
    </xf>
    <xf numFmtId="0" fontId="4" fillId="0" borderId="14" xfId="0" applyFont="1" applyBorder="1" applyAlignment="1">
      <alignment horizontal="center"/>
    </xf>
    <xf numFmtId="0" fontId="3" fillId="0" borderId="0" xfId="0" applyFont="1" applyAlignment="1">
      <alignment horizontal="right" vertical="center"/>
    </xf>
    <xf numFmtId="0" fontId="6" fillId="0" borderId="0" xfId="0" applyFont="1" applyAlignment="1">
      <alignment horizontal="justify" vertical="center" readingOrder="1"/>
    </xf>
    <xf numFmtId="0" fontId="3" fillId="0" borderId="2" xfId="0" applyFont="1" applyBorder="1" applyAlignment="1">
      <alignment vertical="top"/>
    </xf>
    <xf numFmtId="1" fontId="3" fillId="0" borderId="2" xfId="0" applyNumberFormat="1" applyFont="1" applyBorder="1" applyAlignment="1" applyProtection="1">
      <alignment vertical="top"/>
      <protection locked="0"/>
    </xf>
    <xf numFmtId="0" fontId="3" fillId="0" borderId="2" xfId="0" applyFont="1" applyBorder="1" applyAlignment="1" applyProtection="1">
      <alignment vertical="top" wrapText="1"/>
      <protection locked="0"/>
    </xf>
    <xf numFmtId="0" fontId="3" fillId="0" borderId="2" xfId="0" applyFont="1" applyBorder="1" applyAlignment="1" applyProtection="1">
      <alignment vertical="top"/>
      <protection locked="0"/>
    </xf>
    <xf numFmtId="1" fontId="3" fillId="4" borderId="2" xfId="0" applyNumberFormat="1" applyFont="1" applyFill="1" applyBorder="1" applyAlignment="1">
      <alignment vertical="top"/>
    </xf>
    <xf numFmtId="0" fontId="0" fillId="0" borderId="0" xfId="0" applyAlignment="1">
      <alignment vertical="top"/>
    </xf>
    <xf numFmtId="1" fontId="3" fillId="0" borderId="1" xfId="0" applyNumberFormat="1" applyFont="1" applyBorder="1" applyAlignment="1" applyProtection="1">
      <alignment vertical="top"/>
      <protection locked="0"/>
    </xf>
    <xf numFmtId="0" fontId="3" fillId="0" borderId="1" xfId="0" applyFont="1" applyBorder="1" applyAlignment="1" applyProtection="1">
      <alignment vertical="top"/>
      <protection locked="0"/>
    </xf>
    <xf numFmtId="0" fontId="3" fillId="0" borderId="1" xfId="0" applyFont="1" applyBorder="1" applyAlignment="1" applyProtection="1">
      <alignment vertical="top" wrapText="1"/>
      <protection locked="0"/>
    </xf>
    <xf numFmtId="0" fontId="0" fillId="0" borderId="0" xfId="0" applyAlignment="1">
      <alignment vertical="top" wrapText="1"/>
    </xf>
    <xf numFmtId="0" fontId="5" fillId="0" borderId="18" xfId="0" applyFont="1" applyBorder="1" applyAlignment="1">
      <alignment horizontal="center" vertical="center"/>
    </xf>
    <xf numFmtId="0" fontId="0" fillId="0" borderId="6" xfId="0" applyBorder="1"/>
    <xf numFmtId="0" fontId="0" fillId="0" borderId="7" xfId="0" applyBorder="1"/>
    <xf numFmtId="0" fontId="0" fillId="2" borderId="15" xfId="0" applyFill="1" applyBorder="1" applyAlignment="1" applyProtection="1">
      <alignment horizontal="center"/>
      <protection locked="0"/>
    </xf>
    <xf numFmtId="0" fontId="0" fillId="0" borderId="3" xfId="0" applyBorder="1" applyProtection="1">
      <protection locked="0"/>
    </xf>
    <xf numFmtId="0" fontId="0" fillId="0" borderId="15" xfId="0" applyBorder="1" applyProtection="1">
      <protection locked="0"/>
    </xf>
    <xf numFmtId="0" fontId="4" fillId="5" borderId="1" xfId="0" applyFont="1" applyFill="1" applyBorder="1" applyAlignment="1">
      <alignment horizontal="center"/>
    </xf>
    <xf numFmtId="0" fontId="0" fillId="0" borderId="16" xfId="0" applyBorder="1"/>
    <xf numFmtId="0" fontId="4" fillId="2" borderId="2" xfId="0" applyFont="1" applyFill="1" applyBorder="1" applyAlignment="1">
      <alignment horizontal="center"/>
    </xf>
    <xf numFmtId="0" fontId="0" fillId="0" borderId="9" xfId="0" applyBorder="1"/>
    <xf numFmtId="0" fontId="0" fillId="0" borderId="10" xfId="0" applyBorder="1"/>
    <xf numFmtId="0" fontId="0" fillId="0" borderId="0" xfId="0" applyAlignment="1" applyProtection="1">
      <alignment horizontal="center"/>
      <protection locked="0"/>
    </xf>
    <xf numFmtId="0" fontId="0" fillId="0" borderId="0" xfId="0" applyProtection="1">
      <protection locked="0"/>
    </xf>
    <xf numFmtId="0" fontId="0" fillId="0" borderId="1" xfId="0" applyBorder="1" applyAlignment="1" applyProtection="1">
      <alignment horizontal="center"/>
      <protection locked="0"/>
    </xf>
    <xf numFmtId="0" fontId="0" fillId="0" borderId="17" xfId="0" applyBorder="1" applyProtection="1">
      <protection locked="0"/>
    </xf>
    <xf numFmtId="0" fontId="0" fillId="0" borderId="16" xfId="0" applyBorder="1" applyProtection="1">
      <protection locked="0"/>
    </xf>
    <xf numFmtId="0" fontId="3" fillId="0" borderId="10" xfId="0" applyFont="1" applyBorder="1" applyAlignment="1">
      <alignment vertical="top" wrapText="1"/>
    </xf>
    <xf numFmtId="0" fontId="3" fillId="0" borderId="8" xfId="0" applyFont="1" applyBorder="1" applyAlignment="1">
      <alignment vertical="top" wrapText="1"/>
    </xf>
    <xf numFmtId="0" fontId="0" fillId="0" borderId="0" xfId="0"/>
    <xf numFmtId="0" fontId="0" fillId="0" borderId="8" xfId="0" applyBorder="1"/>
    <xf numFmtId="0" fontId="3" fillId="0" borderId="0" xfId="0" applyFont="1" applyAlignment="1">
      <alignment horizontal="center" vertical="center" wrapText="1"/>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zoomScale="70" zoomScaleNormal="70" workbookViewId="0">
      <selection activeCell="C11" sqref="C11"/>
    </sheetView>
  </sheetViews>
  <sheetFormatPr defaultColWidth="11.42578125" defaultRowHeight="15"/>
  <cols>
    <col min="1" max="1" width="27.5703125" customWidth="1"/>
    <col min="2" max="2" width="6.85546875" customWidth="1"/>
    <col min="3" max="3" width="59.140625" customWidth="1"/>
    <col min="4" max="4" width="10.5703125" customWidth="1"/>
    <col min="5" max="5" width="6.5703125" customWidth="1"/>
    <col min="6" max="6" width="59.85546875" customWidth="1"/>
    <col min="7" max="7" width="11" customWidth="1"/>
    <col min="8" max="8" width="5.5703125" customWidth="1"/>
    <col min="9" max="9" width="53.7109375" customWidth="1"/>
    <col min="10" max="10" width="11.42578125" customWidth="1"/>
    <col min="11" max="11" width="7.5703125" customWidth="1"/>
  </cols>
  <sheetData>
    <row r="1" spans="1:11" ht="23.25" customHeight="1" thickBot="1">
      <c r="A1" s="1"/>
      <c r="B1" s="35" t="s">
        <v>0</v>
      </c>
      <c r="C1" s="36"/>
      <c r="D1" s="36"/>
      <c r="E1" s="36"/>
      <c r="F1" s="36"/>
      <c r="G1" s="36"/>
      <c r="H1" s="36"/>
      <c r="I1" s="36"/>
      <c r="J1" s="36"/>
      <c r="K1" s="37"/>
    </row>
    <row r="2" spans="1:11" ht="15.75" customHeight="1" thickBot="1">
      <c r="A2" s="2" t="s">
        <v>1</v>
      </c>
      <c r="B2" t="s">
        <v>2</v>
      </c>
      <c r="F2" s="2" t="s">
        <v>3</v>
      </c>
      <c r="G2" t="s">
        <v>4</v>
      </c>
    </row>
    <row r="3" spans="1:11" hidden="1">
      <c r="A3" s="2" t="s">
        <v>5</v>
      </c>
      <c r="B3" s="46" t="s">
        <v>6</v>
      </c>
      <c r="C3" s="47"/>
      <c r="D3" s="47"/>
      <c r="E3" s="47"/>
      <c r="F3" s="47"/>
      <c r="G3" s="47"/>
      <c r="H3" s="47"/>
      <c r="I3" s="47"/>
      <c r="J3" s="47"/>
      <c r="K3" s="47"/>
    </row>
    <row r="4" spans="1:11" ht="30.6" customHeight="1">
      <c r="A4" s="17" t="s">
        <v>7</v>
      </c>
      <c r="B4" s="38" t="s">
        <v>8</v>
      </c>
      <c r="C4" s="39"/>
      <c r="D4" s="39"/>
      <c r="E4" s="39"/>
      <c r="F4" s="39"/>
      <c r="G4" s="39"/>
      <c r="H4" s="39"/>
      <c r="I4" s="39"/>
      <c r="J4" s="39"/>
      <c r="K4" s="40"/>
    </row>
    <row r="5" spans="1:11">
      <c r="A5" s="16" t="s">
        <v>9</v>
      </c>
      <c r="B5" s="48" t="s">
        <v>10</v>
      </c>
      <c r="C5" s="49"/>
      <c r="D5" s="49"/>
      <c r="E5" s="49"/>
      <c r="F5" s="49"/>
      <c r="G5" s="49"/>
      <c r="H5" s="49"/>
      <c r="I5" s="49"/>
      <c r="J5" s="49"/>
      <c r="K5" s="50"/>
    </row>
    <row r="6" spans="1:11">
      <c r="A6" s="16" t="s">
        <v>11</v>
      </c>
      <c r="B6" s="48" t="s">
        <v>12</v>
      </c>
      <c r="C6" s="49"/>
      <c r="D6" s="49"/>
      <c r="E6" s="49"/>
      <c r="F6" s="49"/>
      <c r="G6" s="49"/>
      <c r="H6" s="49"/>
      <c r="I6" s="49"/>
      <c r="J6" s="49"/>
      <c r="K6" s="50"/>
    </row>
    <row r="7" spans="1:11">
      <c r="A7" s="16" t="s">
        <v>13</v>
      </c>
      <c r="B7" s="48" t="s">
        <v>14</v>
      </c>
      <c r="C7" s="49"/>
      <c r="D7" s="49"/>
      <c r="E7" s="49"/>
      <c r="F7" s="49"/>
      <c r="G7" s="49"/>
      <c r="H7" s="49"/>
      <c r="I7" s="49"/>
      <c r="J7" s="49"/>
      <c r="K7" s="50"/>
    </row>
    <row r="8" spans="1:11" ht="19.7" customHeight="1">
      <c r="A8" s="12"/>
      <c r="B8" s="13"/>
      <c r="C8" s="43" t="s">
        <v>15</v>
      </c>
      <c r="D8" s="44"/>
      <c r="E8" s="45"/>
      <c r="F8" s="43" t="s">
        <v>16</v>
      </c>
      <c r="G8" s="44"/>
      <c r="H8" s="45"/>
      <c r="I8" s="43" t="s">
        <v>17</v>
      </c>
      <c r="J8" s="44"/>
      <c r="K8" s="45"/>
    </row>
    <row r="9" spans="1:11" ht="19.7" customHeight="1">
      <c r="A9" s="12"/>
      <c r="B9" s="13"/>
      <c r="C9" s="41" t="str">
        <f>B5</f>
        <v>Desarrollo a medida con equipo propio</v>
      </c>
      <c r="D9" s="42"/>
      <c r="E9" s="21" t="str">
        <f>IF(C16&gt;=F16,IF(C16&gt;=I16,"BIEN","MAL"),"MAL")</f>
        <v>BIEN</v>
      </c>
      <c r="F9" s="41" t="str">
        <f>B6</f>
        <v>Adaptación de plataforma open-source existente</v>
      </c>
      <c r="G9" s="42"/>
      <c r="H9" s="21" t="str">
        <f>IF(C16&gt;=F16,IF(C16&gt;=I16,"BIEN","MAL"),"MAL")</f>
        <v>BIEN</v>
      </c>
      <c r="I9" s="41" t="str">
        <f>B7</f>
        <v>Plataforma Low-Code / SaaS de terceros</v>
      </c>
      <c r="J9" s="42"/>
      <c r="K9" s="22" t="str">
        <f>IF(C16&gt;=F16,IF(C16&gt;=I16,"BIEN","MAL"),"MAL")</f>
        <v>BIEN</v>
      </c>
    </row>
    <row r="10" spans="1:11" ht="15.75" customHeight="1" thickBot="1">
      <c r="A10" s="18" t="s">
        <v>18</v>
      </c>
      <c r="B10" s="19" t="s">
        <v>19</v>
      </c>
      <c r="C10" s="20" t="s">
        <v>20</v>
      </c>
      <c r="D10" s="20" t="s">
        <v>21</v>
      </c>
      <c r="E10" s="20" t="s">
        <v>22</v>
      </c>
      <c r="F10" s="20" t="s">
        <v>20</v>
      </c>
      <c r="G10" s="20" t="s">
        <v>21</v>
      </c>
      <c r="H10" s="20" t="s">
        <v>22</v>
      </c>
      <c r="I10" s="20" t="s">
        <v>20</v>
      </c>
      <c r="J10" s="20" t="s">
        <v>21</v>
      </c>
      <c r="K10" s="20" t="s">
        <v>22</v>
      </c>
    </row>
    <row r="11" spans="1:11" s="30" customFormat="1" ht="70.150000000000006" customHeight="1">
      <c r="A11" s="25" t="s">
        <v>23</v>
      </c>
      <c r="B11" s="26">
        <v>35</v>
      </c>
      <c r="C11" s="27" t="s">
        <v>24</v>
      </c>
      <c r="D11" s="28">
        <v>8</v>
      </c>
      <c r="E11" s="29">
        <f>$B11*$D11</f>
        <v>280</v>
      </c>
      <c r="F11" s="27" t="s">
        <v>25</v>
      </c>
      <c r="G11" s="28">
        <v>6</v>
      </c>
      <c r="H11" s="29">
        <f>$B11*$G11</f>
        <v>210</v>
      </c>
      <c r="I11" s="27" t="s">
        <v>26</v>
      </c>
      <c r="J11" s="28">
        <v>4</v>
      </c>
      <c r="K11" s="29">
        <f>$B11*$J11</f>
        <v>140</v>
      </c>
    </row>
    <row r="12" spans="1:11" s="30" customFormat="1" ht="70.150000000000006" customHeight="1">
      <c r="A12" s="25" t="s">
        <v>27</v>
      </c>
      <c r="B12" s="31">
        <v>20</v>
      </c>
      <c r="C12" s="34" t="s">
        <v>28</v>
      </c>
      <c r="D12" s="28">
        <v>5</v>
      </c>
      <c r="E12" s="29">
        <f>$B12*$D12</f>
        <v>100</v>
      </c>
      <c r="F12" s="34" t="s">
        <v>29</v>
      </c>
      <c r="G12" s="28">
        <v>8</v>
      </c>
      <c r="H12" s="29">
        <f>$B12*$G12</f>
        <v>160</v>
      </c>
      <c r="I12" s="34" t="s">
        <v>30</v>
      </c>
      <c r="J12" s="28">
        <v>7</v>
      </c>
      <c r="K12" s="29">
        <f>$B12*$J12</f>
        <v>140</v>
      </c>
    </row>
    <row r="13" spans="1:11" s="30" customFormat="1" ht="70.150000000000006" customHeight="1">
      <c r="A13" s="25" t="s">
        <v>31</v>
      </c>
      <c r="B13" s="31">
        <v>15</v>
      </c>
      <c r="C13" s="33" t="s">
        <v>32</v>
      </c>
      <c r="D13" s="28">
        <v>5</v>
      </c>
      <c r="E13" s="29">
        <f>$B13*$D13</f>
        <v>75</v>
      </c>
      <c r="F13" s="33" t="s">
        <v>33</v>
      </c>
      <c r="G13" s="32">
        <v>7</v>
      </c>
      <c r="H13" s="29">
        <f>$B13*$G13</f>
        <v>105</v>
      </c>
      <c r="I13" s="33" t="s">
        <v>34</v>
      </c>
      <c r="J13" s="28">
        <v>9</v>
      </c>
      <c r="K13" s="29">
        <f>$B13*$J13</f>
        <v>135</v>
      </c>
    </row>
    <row r="14" spans="1:11" s="30" customFormat="1" ht="70.150000000000006" customHeight="1">
      <c r="A14" s="25" t="s">
        <v>35</v>
      </c>
      <c r="B14" s="31">
        <v>20</v>
      </c>
      <c r="C14" s="33" t="s">
        <v>36</v>
      </c>
      <c r="D14" s="28">
        <v>9</v>
      </c>
      <c r="E14" s="29">
        <f>$B14*$D14</f>
        <v>180</v>
      </c>
      <c r="F14" s="33" t="s">
        <v>37</v>
      </c>
      <c r="G14" s="28">
        <v>6</v>
      </c>
      <c r="H14" s="29">
        <f>$B14*$G14</f>
        <v>120</v>
      </c>
      <c r="I14" s="33" t="s">
        <v>38</v>
      </c>
      <c r="J14" s="32">
        <v>4</v>
      </c>
      <c r="K14" s="29">
        <f>$B14*$J14</f>
        <v>80</v>
      </c>
    </row>
    <row r="15" spans="1:11" s="30" customFormat="1" ht="70.150000000000006" hidden="1" customHeight="1">
      <c r="A15" s="25" t="s">
        <v>39</v>
      </c>
      <c r="B15" s="31">
        <v>10</v>
      </c>
      <c r="C15" s="33" t="s">
        <v>40</v>
      </c>
      <c r="D15" s="32">
        <v>8</v>
      </c>
      <c r="E15" s="29">
        <f>$B15*$D15</f>
        <v>80</v>
      </c>
      <c r="F15" s="33" t="s">
        <v>41</v>
      </c>
      <c r="G15" s="32">
        <v>6</v>
      </c>
      <c r="H15" s="29">
        <f>$B15*$G15</f>
        <v>60</v>
      </c>
      <c r="I15" s="33" t="s">
        <v>42</v>
      </c>
      <c r="J15" s="32">
        <v>5</v>
      </c>
      <c r="K15" s="29">
        <f>$B15*$J15</f>
        <v>50</v>
      </c>
    </row>
    <row r="16" spans="1:11">
      <c r="A16" s="14" t="s">
        <v>43</v>
      </c>
      <c r="B16" s="10">
        <f>SUM(B11:B15)</f>
        <v>100</v>
      </c>
      <c r="C16" s="9"/>
      <c r="D16" s="9"/>
      <c r="E16" s="15">
        <f>SUM(E11:E15)</f>
        <v>715</v>
      </c>
      <c r="F16" s="9"/>
      <c r="G16" s="9"/>
      <c r="H16" s="15">
        <f>SUM(H11:H15)</f>
        <v>655</v>
      </c>
      <c r="I16" s="9"/>
      <c r="J16" s="9"/>
      <c r="K16" s="15">
        <f>SUM(K11:K15)</f>
        <v>545</v>
      </c>
    </row>
    <row r="18" spans="1:11">
      <c r="A18" s="6" t="s">
        <v>44</v>
      </c>
      <c r="B18" s="3"/>
      <c r="C18" s="3"/>
      <c r="D18" s="3"/>
      <c r="E18" s="3"/>
      <c r="F18" s="3"/>
      <c r="G18" s="3"/>
      <c r="H18" s="3"/>
      <c r="I18" s="3"/>
      <c r="J18" s="3"/>
      <c r="K18" s="3"/>
    </row>
    <row r="19" spans="1:11" ht="90" customHeight="1">
      <c r="A19" s="7" t="s">
        <v>45</v>
      </c>
      <c r="B19" s="51" t="s">
        <v>66</v>
      </c>
      <c r="C19" s="44"/>
      <c r="D19" s="44"/>
      <c r="E19" s="44"/>
      <c r="F19" s="44"/>
      <c r="G19" s="44"/>
      <c r="H19" s="44"/>
      <c r="I19" s="44"/>
      <c r="J19" s="44"/>
      <c r="K19" s="45"/>
    </row>
    <row r="20" spans="1:11" ht="90" customHeight="1">
      <c r="A20" s="8" t="s">
        <v>46</v>
      </c>
      <c r="B20" s="52" t="s">
        <v>47</v>
      </c>
      <c r="C20" s="53"/>
      <c r="D20" s="53"/>
      <c r="E20" s="53"/>
      <c r="F20" s="53"/>
      <c r="G20" s="53"/>
      <c r="H20" s="53"/>
      <c r="I20" s="53"/>
      <c r="J20" s="53"/>
      <c r="K20" s="54"/>
    </row>
    <row r="21" spans="1:11" ht="90" customHeight="1">
      <c r="A21" s="4" t="s">
        <v>48</v>
      </c>
      <c r="B21" s="51" t="s">
        <v>49</v>
      </c>
      <c r="C21" s="44"/>
      <c r="D21" s="44"/>
      <c r="E21" s="44"/>
      <c r="F21" s="44"/>
      <c r="G21" s="44"/>
      <c r="H21" s="44"/>
      <c r="I21" s="44"/>
      <c r="J21" s="44"/>
      <c r="K21" s="45"/>
    </row>
  </sheetData>
  <mergeCells count="15">
    <mergeCell ref="B21:K21"/>
    <mergeCell ref="B7:K7"/>
    <mergeCell ref="B6:K6"/>
    <mergeCell ref="C9:D9"/>
    <mergeCell ref="B20:K20"/>
    <mergeCell ref="B19:K19"/>
    <mergeCell ref="I9:J9"/>
    <mergeCell ref="B1:K1"/>
    <mergeCell ref="B4:K4"/>
    <mergeCell ref="F9:G9"/>
    <mergeCell ref="C8:E8"/>
    <mergeCell ref="I8:K8"/>
    <mergeCell ref="F8:H8"/>
    <mergeCell ref="B3:K3"/>
    <mergeCell ref="B5:K5"/>
  </mergeCells>
  <pageMargins left="0.7" right="0.7" top="0.75" bottom="0.75" header="0.3" footer="0.3"/>
  <pageSetup paperSize="66"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election activeCell="A15" sqref="A15"/>
    </sheetView>
  </sheetViews>
  <sheetFormatPr defaultColWidth="11.42578125" defaultRowHeight="15"/>
  <cols>
    <col min="1" max="1" width="62" customWidth="1"/>
    <col min="2" max="2" width="42" customWidth="1"/>
  </cols>
  <sheetData>
    <row r="1" spans="1:2" ht="26.25" customHeight="1">
      <c r="A1" s="11" t="s">
        <v>50</v>
      </c>
    </row>
    <row r="2" spans="1:2">
      <c r="A2" s="6" t="s">
        <v>51</v>
      </c>
    </row>
    <row r="3" spans="1:2" ht="18.75" customHeight="1">
      <c r="A3" s="24" t="s">
        <v>52</v>
      </c>
    </row>
    <row r="4" spans="1:2" ht="18.75" customHeight="1">
      <c r="A4" s="24" t="s">
        <v>53</v>
      </c>
    </row>
    <row r="5" spans="1:2" ht="18.75" customHeight="1">
      <c r="A5" s="24" t="s">
        <v>54</v>
      </c>
    </row>
    <row r="6" spans="1:2" ht="18.75" customHeight="1">
      <c r="A6" s="24" t="s">
        <v>55</v>
      </c>
    </row>
    <row r="7" spans="1:2" ht="18.75" customHeight="1">
      <c r="A7" s="24" t="s">
        <v>56</v>
      </c>
    </row>
    <row r="8" spans="1:2" ht="18.75" customHeight="1">
      <c r="A8" s="24" t="s">
        <v>57</v>
      </c>
    </row>
    <row r="9" spans="1:2" ht="18.75" customHeight="1">
      <c r="A9" s="24" t="s">
        <v>58</v>
      </c>
    </row>
    <row r="10" spans="1:2" ht="18.75" customHeight="1">
      <c r="A10" s="24" t="s">
        <v>59</v>
      </c>
    </row>
    <row r="11" spans="1:2">
      <c r="A11" s="11"/>
    </row>
    <row r="12" spans="1:2">
      <c r="A12" s="6" t="s">
        <v>60</v>
      </c>
    </row>
    <row r="13" spans="1:2">
      <c r="A13" s="3" t="s">
        <v>61</v>
      </c>
    </row>
    <row r="14" spans="1:2" ht="21.6" customHeight="1">
      <c r="A14" s="5"/>
    </row>
    <row r="15" spans="1:2" ht="20.45" customHeight="1">
      <c r="A15" s="6" t="s">
        <v>62</v>
      </c>
    </row>
    <row r="16" spans="1:2">
      <c r="A16">
        <v>0</v>
      </c>
      <c r="B16" s="56" t="s">
        <v>63</v>
      </c>
    </row>
    <row r="17" spans="1:2">
      <c r="A17">
        <v>1</v>
      </c>
      <c r="B17" s="53"/>
    </row>
    <row r="18" spans="1:2">
      <c r="A18">
        <v>2</v>
      </c>
      <c r="B18" s="53"/>
    </row>
    <row r="19" spans="1:2">
      <c r="A19" s="23">
        <v>3</v>
      </c>
      <c r="B19" s="53"/>
    </row>
    <row r="20" spans="1:2">
      <c r="A20">
        <v>4</v>
      </c>
      <c r="B20" s="53"/>
    </row>
    <row r="21" spans="1:2" ht="25.5" customHeight="1">
      <c r="A21">
        <v>5</v>
      </c>
      <c r="B21" s="5" t="s">
        <v>64</v>
      </c>
    </row>
    <row r="22" spans="1:2">
      <c r="A22">
        <v>6</v>
      </c>
      <c r="B22" s="55" t="s">
        <v>65</v>
      </c>
    </row>
    <row r="23" spans="1:2">
      <c r="A23">
        <v>7</v>
      </c>
      <c r="B23" s="53"/>
    </row>
    <row r="24" spans="1:2">
      <c r="A24">
        <v>8</v>
      </c>
      <c r="B24" s="53"/>
    </row>
    <row r="25" spans="1:2">
      <c r="A25">
        <v>9</v>
      </c>
      <c r="B25" s="53"/>
    </row>
    <row r="26" spans="1:2">
      <c r="A26">
        <v>10</v>
      </c>
      <c r="B26" s="53"/>
    </row>
  </sheetData>
  <mergeCells count="2">
    <mergeCell ref="B22:B26"/>
    <mergeCell ref="B16:B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DAR</vt:lpstr>
      <vt:lpstr>Ayuda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Matriz de Evaluación</dc:title>
  <dc:creator>Moreno Alcántara, Ana Isabel</dc:creator>
  <cp:lastModifiedBy>pepe</cp:lastModifiedBy>
  <cp:lastPrinted>2026-09-13T02:14:50Z</cp:lastPrinted>
  <dcterms:created xsi:type="dcterms:W3CDTF">2017-10-05T07:48:53Z</dcterms:created>
  <dcterms:modified xsi:type="dcterms:W3CDTF">2026-09-13T02:14:52Z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0x010100362E263CFAB8C44493F4A378833FD3FE</vt:lpwstr>
  </property>
</Properties>
</file>