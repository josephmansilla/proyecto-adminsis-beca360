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bautneduar-my.sharepoint.com/personal/jomansilla_frba_utn_edu_ar/Documents/04-Cuarto-Año-2026/Administracion-De-Sistemas-De-Información/TPA/Templates/"/>
    </mc:Choice>
  </mc:AlternateContent>
  <xr:revisionPtr revIDLastSave="266" documentId="8_{5C284FA5-5EAE-4E74-BC0C-3420A1B2D9B1}" xr6:coauthVersionLast="47" xr6:coauthVersionMax="47" xr10:uidLastSave="{59CD9406-337B-4B95-88F8-7ABDF1E38A6F}"/>
  <bookViews>
    <workbookView xWindow="8820" yWindow="2880" windowWidth="26085" windowHeight="17235" activeTab="3" xr2:uid="{00000000-000D-0000-FFFF-FFFF00000000}"/>
  </bookViews>
  <sheets>
    <sheet name="INSTRUCCIONES" sheetId="1" r:id="rId1"/>
    <sheet name="CALCULOS AUXILIARES" sheetId="2" r:id="rId2"/>
    <sheet name="Estimación de Costos Básica HR " sheetId="3" r:id="rId3"/>
    <sheet name="Estimación de Costos Avanzada (" sheetId="4" r:id="rId4"/>
  </sheets>
  <definedNames>
    <definedName name="___thinkcellNUYAAAAAAAAAAAAAT8cFbKKya0yTufg8mNIwXQ" localSheetId="3">#REF!</definedName>
    <definedName name="___thinkcellNUYAAAAAAAAAAAAAT8cFbKKya0yTufg8mNIwXQ">#REF!</definedName>
    <definedName name="Dto" localSheetId="3">#REF!</definedName>
    <definedName name="Dto">#REF!</definedName>
    <definedName name="Mant_HW_Com" localSheetId="3">#REF!</definedName>
    <definedName name="Mant_HW_Com">#REF!</definedName>
    <definedName name="Mante_HW" localSheetId="3">#REF!</definedName>
    <definedName name="Mante_H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9" roundtripDataSignature="AMtx7mgBsFErmZ0y7TfI7hjPZrhIEoDH2Q=="/>
    </ext>
  </extLst>
</workbook>
</file>

<file path=xl/calcChain.xml><?xml version="1.0" encoding="utf-8"?>
<calcChain xmlns="http://schemas.openxmlformats.org/spreadsheetml/2006/main">
  <c r="G2" i="4" l="1"/>
  <c r="H2" i="4"/>
  <c r="I2" i="4"/>
  <c r="J2" i="4"/>
  <c r="K2" i="4"/>
  <c r="L2" i="4"/>
  <c r="M2" i="4"/>
  <c r="N2" i="4"/>
  <c r="O2" i="4"/>
  <c r="P2" i="4"/>
  <c r="Q2" i="4"/>
  <c r="G12" i="4"/>
  <c r="G46" i="4" s="1"/>
  <c r="G48" i="4" s="1"/>
  <c r="H12" i="4"/>
  <c r="H46" i="4" s="1"/>
  <c r="H48" i="4" s="1"/>
  <c r="I12" i="4"/>
  <c r="I46" i="4" s="1"/>
  <c r="I48" i="4" s="1"/>
  <c r="J12" i="4"/>
  <c r="J46" i="4" s="1"/>
  <c r="J48" i="4" s="1"/>
  <c r="K12" i="4"/>
  <c r="K46" i="4" s="1"/>
  <c r="K48" i="4" s="1"/>
  <c r="L12" i="4"/>
  <c r="M12" i="4"/>
  <c r="N12" i="4"/>
  <c r="O12" i="4"/>
  <c r="P12" i="4"/>
  <c r="Q12" i="4"/>
  <c r="G25" i="4"/>
  <c r="H25" i="4"/>
  <c r="I25" i="4"/>
  <c r="J25" i="4"/>
  <c r="K25" i="4"/>
  <c r="L25" i="4"/>
  <c r="L46" i="4" s="1"/>
  <c r="L48" i="4" s="1"/>
  <c r="M25" i="4"/>
  <c r="M46" i="4" s="1"/>
  <c r="M48" i="4" s="1"/>
  <c r="N25" i="4"/>
  <c r="N46" i="4" s="1"/>
  <c r="N48" i="4" s="1"/>
  <c r="O25" i="4"/>
  <c r="O46" i="4" s="1"/>
  <c r="O48" i="4" s="1"/>
  <c r="P25" i="4"/>
  <c r="P46" i="4" s="1"/>
  <c r="P48" i="4" s="1"/>
  <c r="Q25" i="4"/>
  <c r="Q46" i="4"/>
  <c r="Q48" i="4" s="1"/>
  <c r="G49" i="4"/>
  <c r="H49" i="4"/>
  <c r="I49" i="4"/>
  <c r="J49" i="4"/>
  <c r="K49" i="4"/>
  <c r="L49" i="4"/>
  <c r="M49" i="4"/>
  <c r="N49" i="4"/>
  <c r="O49" i="4"/>
  <c r="P49" i="4"/>
  <c r="Q49" i="4"/>
  <c r="O5" i="3"/>
  <c r="O6" i="3"/>
  <c r="O7" i="3"/>
  <c r="N15" i="3"/>
  <c r="O15" i="3"/>
  <c r="B17" i="3" s="1"/>
  <c r="D4" i="3"/>
  <c r="E4" i="3"/>
  <c r="F4" i="3"/>
  <c r="G4" i="3"/>
  <c r="H4" i="3"/>
  <c r="I4" i="3"/>
  <c r="J4" i="3"/>
  <c r="K4" i="3"/>
  <c r="L4" i="3"/>
  <c r="M4" i="3"/>
  <c r="N4" i="3"/>
  <c r="D5" i="3"/>
  <c r="D15" i="3" s="1"/>
  <c r="E5" i="3"/>
  <c r="F5" i="3"/>
  <c r="F15" i="3" s="1"/>
  <c r="G5" i="3"/>
  <c r="G15" i="3" s="1"/>
  <c r="H5" i="3"/>
  <c r="H15" i="3" s="1"/>
  <c r="I5" i="3"/>
  <c r="J5" i="3"/>
  <c r="K5" i="3"/>
  <c r="L5" i="3"/>
  <c r="M5" i="3"/>
  <c r="N5" i="3"/>
  <c r="D6" i="3"/>
  <c r="E6" i="3"/>
  <c r="F6" i="3"/>
  <c r="G6" i="3"/>
  <c r="H6" i="3"/>
  <c r="I6" i="3"/>
  <c r="J6" i="3"/>
  <c r="K6" i="3"/>
  <c r="K15" i="3" s="1"/>
  <c r="L6" i="3"/>
  <c r="L15" i="3" s="1"/>
  <c r="M6" i="3"/>
  <c r="M15" i="3" s="1"/>
  <c r="N6" i="3"/>
  <c r="D7" i="3"/>
  <c r="E7" i="3"/>
  <c r="F7" i="3"/>
  <c r="G7" i="3"/>
  <c r="H7" i="3"/>
  <c r="I7" i="3"/>
  <c r="J7" i="3"/>
  <c r="K7" i="3"/>
  <c r="L7" i="3"/>
  <c r="M7" i="3"/>
  <c r="N7" i="3"/>
  <c r="D8" i="3"/>
  <c r="E8" i="3"/>
  <c r="E15" i="3" s="1"/>
  <c r="F8" i="3"/>
  <c r="G8" i="3"/>
  <c r="H8" i="3"/>
  <c r="I8" i="3"/>
  <c r="J8" i="3"/>
  <c r="K8" i="3"/>
  <c r="L8" i="3"/>
  <c r="M8" i="3"/>
  <c r="N8" i="3"/>
  <c r="D9" i="3"/>
  <c r="E9" i="3"/>
  <c r="F9" i="3"/>
  <c r="G9" i="3"/>
  <c r="H9" i="3"/>
  <c r="I9" i="3"/>
  <c r="J9" i="3"/>
  <c r="K9" i="3"/>
  <c r="L9" i="3"/>
  <c r="M9" i="3"/>
  <c r="N9" i="3"/>
  <c r="D10" i="3"/>
  <c r="E10" i="3"/>
  <c r="F10" i="3"/>
  <c r="G10" i="3"/>
  <c r="H10" i="3"/>
  <c r="I10" i="3"/>
  <c r="J10" i="3"/>
  <c r="K10" i="3"/>
  <c r="L10" i="3"/>
  <c r="M10" i="3"/>
  <c r="N10" i="3"/>
  <c r="D11" i="3"/>
  <c r="E11" i="3"/>
  <c r="F11" i="3"/>
  <c r="G11" i="3"/>
  <c r="H11" i="3"/>
  <c r="I11" i="3"/>
  <c r="J11" i="3"/>
  <c r="K11" i="3"/>
  <c r="L11" i="3"/>
  <c r="M11" i="3"/>
  <c r="N11" i="3"/>
  <c r="D12" i="3"/>
  <c r="E12" i="3"/>
  <c r="F12" i="3"/>
  <c r="G12" i="3"/>
  <c r="H12" i="3"/>
  <c r="I12" i="3"/>
  <c r="J12" i="3"/>
  <c r="K12" i="3"/>
  <c r="L12" i="3"/>
  <c r="M12" i="3"/>
  <c r="N12" i="3"/>
  <c r="D13" i="3"/>
  <c r="E13" i="3"/>
  <c r="F13" i="3"/>
  <c r="G13" i="3"/>
  <c r="H13" i="3"/>
  <c r="I13" i="3"/>
  <c r="J13" i="3"/>
  <c r="K13" i="3"/>
  <c r="L13" i="3"/>
  <c r="M13" i="3"/>
  <c r="N13" i="3"/>
  <c r="D14" i="3"/>
  <c r="E14" i="3"/>
  <c r="F14" i="3"/>
  <c r="G14" i="3"/>
  <c r="H14" i="3"/>
  <c r="I14" i="3"/>
  <c r="J14" i="3"/>
  <c r="K14" i="3"/>
  <c r="L14" i="3"/>
  <c r="M14" i="3"/>
  <c r="N14" i="3"/>
  <c r="I15" i="3"/>
  <c r="J15" i="3"/>
  <c r="D108" i="2"/>
  <c r="E108" i="2"/>
  <c r="F108" i="2"/>
  <c r="G108" i="2"/>
  <c r="H108" i="2"/>
  <c r="I108" i="2"/>
  <c r="J108" i="2"/>
  <c r="K108" i="2"/>
  <c r="L108" i="2"/>
  <c r="M108" i="2"/>
  <c r="N108" i="2"/>
  <c r="D117" i="2"/>
  <c r="E117" i="2"/>
  <c r="F117" i="2"/>
  <c r="G117" i="2"/>
  <c r="H117" i="2"/>
  <c r="I117" i="2"/>
  <c r="J117" i="2"/>
  <c r="K117" i="2"/>
  <c r="L117" i="2"/>
  <c r="M117" i="2"/>
  <c r="N117" i="2"/>
  <c r="D22" i="2"/>
  <c r="E22" i="2"/>
  <c r="F22" i="2"/>
  <c r="G22" i="2"/>
  <c r="H22" i="2"/>
  <c r="I22" i="2"/>
  <c r="J22" i="2"/>
  <c r="K22" i="2"/>
  <c r="L22" i="2"/>
  <c r="M22" i="2"/>
  <c r="N22" i="2"/>
  <c r="D23" i="2"/>
  <c r="E23" i="2"/>
  <c r="F23" i="2"/>
  <c r="G23" i="2"/>
  <c r="H23" i="2"/>
  <c r="I23" i="2"/>
  <c r="J23" i="2"/>
  <c r="K23" i="2"/>
  <c r="L23" i="2"/>
  <c r="M23" i="2"/>
  <c r="N23" i="2"/>
  <c r="D24" i="2"/>
  <c r="E24" i="2"/>
  <c r="F24" i="2"/>
  <c r="G24" i="2"/>
  <c r="H24" i="2"/>
  <c r="I24" i="2"/>
  <c r="J24" i="2"/>
  <c r="K24" i="2"/>
  <c r="L24" i="2"/>
  <c r="M24" i="2"/>
  <c r="N24" i="2"/>
  <c r="D25" i="2"/>
  <c r="E25" i="2"/>
  <c r="F25" i="2"/>
  <c r="G25" i="2"/>
  <c r="H25" i="2"/>
  <c r="I25" i="2"/>
  <c r="J25" i="2"/>
  <c r="K25" i="2"/>
  <c r="L25" i="2"/>
  <c r="M25" i="2"/>
  <c r="N25" i="2"/>
  <c r="D26" i="2"/>
  <c r="E26" i="2"/>
  <c r="F26" i="2"/>
  <c r="G26" i="2"/>
  <c r="H26" i="2"/>
  <c r="I26" i="2"/>
  <c r="J26" i="2"/>
  <c r="K26" i="2"/>
  <c r="L26" i="2"/>
  <c r="M26" i="2"/>
  <c r="N26" i="2"/>
  <c r="D27" i="2"/>
  <c r="E27" i="2"/>
  <c r="F27" i="2"/>
  <c r="G27" i="2"/>
  <c r="H27" i="2"/>
  <c r="I27" i="2"/>
  <c r="J27" i="2"/>
  <c r="K27" i="2"/>
  <c r="L27" i="2"/>
  <c r="M27" i="2"/>
  <c r="N27" i="2"/>
  <c r="D28" i="2"/>
  <c r="E28" i="2"/>
  <c r="F28" i="2"/>
  <c r="G28" i="2"/>
  <c r="H28" i="2"/>
  <c r="I28" i="2"/>
  <c r="J28" i="2"/>
  <c r="K28" i="2"/>
  <c r="L28" i="2"/>
  <c r="M28" i="2"/>
  <c r="N28" i="2"/>
  <c r="D29" i="2"/>
  <c r="E29" i="2"/>
  <c r="F29" i="2"/>
  <c r="G29" i="2"/>
  <c r="H29" i="2"/>
  <c r="I29" i="2"/>
  <c r="J29" i="2"/>
  <c r="K29" i="2"/>
  <c r="L29" i="2"/>
  <c r="M29" i="2"/>
  <c r="N29" i="2"/>
  <c r="D30" i="2"/>
  <c r="E30" i="2"/>
  <c r="F30" i="2"/>
  <c r="G30" i="2"/>
  <c r="H30" i="2"/>
  <c r="I30" i="2"/>
  <c r="J30" i="2"/>
  <c r="K30" i="2"/>
  <c r="L30" i="2"/>
  <c r="M30" i="2"/>
  <c r="N30" i="2"/>
  <c r="D31" i="2"/>
  <c r="E31" i="2"/>
  <c r="F31" i="2"/>
  <c r="G31" i="2"/>
  <c r="H31" i="2"/>
  <c r="I31" i="2"/>
  <c r="J31" i="2"/>
  <c r="K31" i="2"/>
  <c r="L31" i="2"/>
  <c r="M31" i="2"/>
  <c r="N31" i="2"/>
  <c r="D32" i="2"/>
  <c r="E32" i="2"/>
  <c r="F32" i="2"/>
  <c r="G32" i="2"/>
  <c r="H32" i="2"/>
  <c r="I32" i="2"/>
  <c r="J32" i="2"/>
  <c r="K32" i="2"/>
  <c r="L32" i="2"/>
  <c r="M32" i="2"/>
  <c r="N32" i="2"/>
  <c r="D33" i="2"/>
  <c r="E33" i="2"/>
  <c r="F33" i="2"/>
  <c r="G33" i="2"/>
  <c r="H33" i="2"/>
  <c r="I33" i="2"/>
  <c r="J33" i="2"/>
  <c r="K33" i="2"/>
  <c r="L33" i="2"/>
  <c r="M33" i="2"/>
  <c r="N33" i="2"/>
  <c r="D34" i="2"/>
  <c r="E34" i="2"/>
  <c r="F34" i="2"/>
  <c r="G34" i="2"/>
  <c r="H34" i="2"/>
  <c r="I34" i="2"/>
  <c r="J34" i="2"/>
  <c r="K34" i="2"/>
  <c r="L34" i="2"/>
  <c r="M34" i="2"/>
  <c r="N34" i="2"/>
  <c r="D35" i="2"/>
  <c r="E35" i="2"/>
  <c r="F35" i="2"/>
  <c r="G35" i="2"/>
  <c r="H35" i="2"/>
  <c r="I35" i="2"/>
  <c r="J35" i="2"/>
  <c r="K35" i="2"/>
  <c r="L35" i="2"/>
  <c r="M35" i="2"/>
  <c r="N35" i="2"/>
  <c r="C22" i="2"/>
  <c r="G18" i="2"/>
  <c r="V8" i="2" s="1"/>
  <c r="H18" i="2"/>
  <c r="W8" i="2" s="1"/>
  <c r="I18" i="2"/>
  <c r="X9" i="2" s="1"/>
  <c r="J18" i="2"/>
  <c r="Y8" i="2" s="1"/>
  <c r="K18" i="2"/>
  <c r="Z8" i="2" s="1"/>
  <c r="L18" i="2"/>
  <c r="AA16" i="2" s="1"/>
  <c r="M18" i="2"/>
  <c r="AB15" i="2" s="1"/>
  <c r="N18" i="2"/>
  <c r="AC15" i="2" s="1"/>
  <c r="E18" i="2"/>
  <c r="T17" i="2" s="1"/>
  <c r="F18" i="2"/>
  <c r="U8" i="2" s="1"/>
  <c r="D18" i="2"/>
  <c r="S8" i="2" s="1"/>
  <c r="C3" i="2"/>
  <c r="D3" i="2" s="1"/>
  <c r="E3" i="2" s="1"/>
  <c r="F3" i="2" s="1"/>
  <c r="G3" i="2" s="1"/>
  <c r="H3" i="2" s="1"/>
  <c r="I3" i="2" s="1"/>
  <c r="J3" i="2" s="1"/>
  <c r="K3" i="2" s="1"/>
  <c r="L3" i="2" s="1"/>
  <c r="M3" i="2" s="1"/>
  <c r="N3" i="2" s="1"/>
  <c r="AC3" i="2" s="1"/>
  <c r="AC35" i="2" s="1"/>
  <c r="A116" i="2"/>
  <c r="B23" i="2"/>
  <c r="C23" i="2"/>
  <c r="B24" i="2"/>
  <c r="C24" i="2"/>
  <c r="B25" i="2"/>
  <c r="C25" i="2"/>
  <c r="B26" i="2"/>
  <c r="C26" i="2"/>
  <c r="B27" i="2"/>
  <c r="C27" i="2"/>
  <c r="B28" i="2"/>
  <c r="C28" i="2"/>
  <c r="B29" i="2"/>
  <c r="C29" i="2"/>
  <c r="B30" i="2"/>
  <c r="C30" i="2"/>
  <c r="B31" i="2"/>
  <c r="C31" i="2"/>
  <c r="B32" i="2"/>
  <c r="C32" i="2"/>
  <c r="B33" i="2"/>
  <c r="C33" i="2"/>
  <c r="B34" i="2"/>
  <c r="C34" i="2"/>
  <c r="B35" i="2"/>
  <c r="C35" i="2"/>
  <c r="A5" i="2"/>
  <c r="P5" i="2" s="1"/>
  <c r="A6" i="2"/>
  <c r="P6" i="2" s="1"/>
  <c r="A7" i="2"/>
  <c r="P7" i="2" s="1"/>
  <c r="A8" i="2"/>
  <c r="P8" i="2" s="1"/>
  <c r="A9" i="2"/>
  <c r="A79" i="2" s="1"/>
  <c r="A96" i="2" s="1"/>
  <c r="A10" i="2"/>
  <c r="P10" i="2" s="1"/>
  <c r="A11" i="2"/>
  <c r="P11" i="2" s="1"/>
  <c r="A12" i="2"/>
  <c r="A30" i="2" s="1"/>
  <c r="P44" i="2" s="1"/>
  <c r="P62" i="2" s="1"/>
  <c r="P80" i="2" s="1"/>
  <c r="A13" i="2"/>
  <c r="A31" i="2" s="1"/>
  <c r="P45" i="2" s="1"/>
  <c r="P63" i="2" s="1"/>
  <c r="P81" i="2" s="1"/>
  <c r="A14" i="2"/>
  <c r="A84" i="2" s="1"/>
  <c r="A101" i="2" s="1"/>
  <c r="A15" i="2"/>
  <c r="A33" i="2" s="1"/>
  <c r="P47" i="2" s="1"/>
  <c r="P65" i="2" s="1"/>
  <c r="P83" i="2" s="1"/>
  <c r="A16" i="2"/>
  <c r="A34" i="2" s="1"/>
  <c r="P48" i="2" s="1"/>
  <c r="P66" i="2" s="1"/>
  <c r="P84" i="2" s="1"/>
  <c r="A17" i="2"/>
  <c r="A87" i="2" s="1"/>
  <c r="A104" i="2" s="1"/>
  <c r="A4" i="2"/>
  <c r="P4" i="2" s="1"/>
  <c r="F14" i="1"/>
  <c r="F15" i="1"/>
  <c r="D3" i="1"/>
  <c r="D4" i="1"/>
  <c r="D5" i="1"/>
  <c r="D6" i="1"/>
  <c r="D7" i="1"/>
  <c r="D8" i="1"/>
  <c r="D9" i="1"/>
  <c r="D10" i="1"/>
  <c r="F4" i="1"/>
  <c r="F3" i="1"/>
  <c r="F5" i="1"/>
  <c r="F6" i="1"/>
  <c r="F7" i="1"/>
  <c r="F8" i="1"/>
  <c r="F9" i="1"/>
  <c r="F10" i="1"/>
  <c r="F11" i="1"/>
  <c r="F12" i="1"/>
  <c r="F13" i="1"/>
  <c r="A9" i="3"/>
  <c r="A5" i="3"/>
  <c r="A6" i="3"/>
  <c r="A7" i="3"/>
  <c r="A8" i="3"/>
  <c r="A10" i="3"/>
  <c r="A11" i="3"/>
  <c r="A12" i="3"/>
  <c r="A13" i="3"/>
  <c r="A14" i="3"/>
  <c r="B105" i="2"/>
  <c r="A117" i="2"/>
  <c r="B21" i="2"/>
  <c r="B39" i="2" s="1"/>
  <c r="B49" i="2" s="1"/>
  <c r="B53" i="2" s="1"/>
  <c r="B63" i="2" s="1"/>
  <c r="B73" i="2" s="1"/>
  <c r="B108" i="2" s="1"/>
  <c r="Q3" i="2"/>
  <c r="Q35" i="2" s="1"/>
  <c r="Q53" i="2" s="1"/>
  <c r="Q71" i="2" s="1"/>
  <c r="C18" i="2"/>
  <c r="B18" i="2"/>
  <c r="Q4" i="2" s="1"/>
  <c r="F2" i="1"/>
  <c r="R5" i="4"/>
  <c r="R6" i="4"/>
  <c r="R7" i="4"/>
  <c r="R8" i="4"/>
  <c r="R9" i="4"/>
  <c r="R10" i="4"/>
  <c r="R11" i="4"/>
  <c r="E12" i="4"/>
  <c r="F12" i="4"/>
  <c r="R13" i="4"/>
  <c r="R14" i="4"/>
  <c r="R15" i="4"/>
  <c r="R16" i="4"/>
  <c r="R17" i="4"/>
  <c r="R18" i="4"/>
  <c r="R19" i="4"/>
  <c r="R20" i="4"/>
  <c r="R21" i="4"/>
  <c r="R22" i="4"/>
  <c r="R23" i="4"/>
  <c r="R24" i="4"/>
  <c r="E25" i="4"/>
  <c r="F25" i="4"/>
  <c r="R26" i="4"/>
  <c r="R27" i="4"/>
  <c r="R28" i="4"/>
  <c r="R29" i="4"/>
  <c r="R30" i="4"/>
  <c r="R31" i="4"/>
  <c r="R32" i="4"/>
  <c r="R33" i="4"/>
  <c r="R34" i="4"/>
  <c r="R35" i="4"/>
  <c r="R36" i="4"/>
  <c r="R37" i="4"/>
  <c r="R38" i="4"/>
  <c r="R39" i="4"/>
  <c r="R40" i="4"/>
  <c r="R41" i="4"/>
  <c r="R42" i="4"/>
  <c r="R43" i="4"/>
  <c r="R44" i="4"/>
  <c r="F49" i="4"/>
  <c r="E49" i="4"/>
  <c r="R45" i="4"/>
  <c r="R4" i="4"/>
  <c r="R3" i="4"/>
  <c r="B4" i="3"/>
  <c r="E2" i="4" s="1"/>
  <c r="D15" i="1"/>
  <c r="D14" i="1"/>
  <c r="D13" i="1"/>
  <c r="D12" i="1"/>
  <c r="D11" i="1"/>
  <c r="D2" i="1"/>
  <c r="E46" i="4" l="1"/>
  <c r="E48" i="4" s="1"/>
  <c r="G40" i="2"/>
  <c r="G41" i="2" s="1"/>
  <c r="D40" i="2"/>
  <c r="D41" i="2" s="1"/>
  <c r="F40" i="2"/>
  <c r="F41" i="2" s="1"/>
  <c r="M40" i="2"/>
  <c r="M41" i="2" s="1"/>
  <c r="E40" i="2"/>
  <c r="E41" i="2" s="1"/>
  <c r="L40" i="2"/>
  <c r="L41" i="2" s="1"/>
  <c r="L54" i="2" s="1"/>
  <c r="L64" i="2" s="1"/>
  <c r="K40" i="2"/>
  <c r="K41" i="2" s="1"/>
  <c r="J40" i="2"/>
  <c r="J41" i="2" s="1"/>
  <c r="J54" i="2" s="1"/>
  <c r="J64" i="2" s="1"/>
  <c r="N40" i="2"/>
  <c r="N41" i="2" s="1"/>
  <c r="I40" i="2"/>
  <c r="I41" i="2" s="1"/>
  <c r="I54" i="2" s="1"/>
  <c r="I64" i="2" s="1"/>
  <c r="H40" i="2"/>
  <c r="H41" i="2" s="1"/>
  <c r="H36" i="2"/>
  <c r="N36" i="2"/>
  <c r="N21" i="2"/>
  <c r="N39" i="2" s="1"/>
  <c r="N49" i="2" s="1"/>
  <c r="N53" i="2" s="1"/>
  <c r="N63" i="2" s="1"/>
  <c r="N73" i="2" s="1"/>
  <c r="M36" i="2"/>
  <c r="M21" i="2"/>
  <c r="M39" i="2" s="1"/>
  <c r="M49" i="2" s="1"/>
  <c r="M53" i="2" s="1"/>
  <c r="M63" i="2" s="1"/>
  <c r="M73" i="2" s="1"/>
  <c r="L36" i="2"/>
  <c r="L21" i="2"/>
  <c r="L39" i="2" s="1"/>
  <c r="L49" i="2" s="1"/>
  <c r="L53" i="2" s="1"/>
  <c r="L63" i="2" s="1"/>
  <c r="L73" i="2" s="1"/>
  <c r="K21" i="2"/>
  <c r="K39" i="2" s="1"/>
  <c r="K49" i="2" s="1"/>
  <c r="K53" i="2" s="1"/>
  <c r="K63" i="2" s="1"/>
  <c r="K73" i="2" s="1"/>
  <c r="J21" i="2"/>
  <c r="J39" i="2" s="1"/>
  <c r="J49" i="2" s="1"/>
  <c r="J53" i="2" s="1"/>
  <c r="J63" i="2" s="1"/>
  <c r="J73" i="2" s="1"/>
  <c r="I36" i="2"/>
  <c r="J36" i="2"/>
  <c r="E36" i="2"/>
  <c r="I21" i="2"/>
  <c r="I39" i="2" s="1"/>
  <c r="I49" i="2" s="1"/>
  <c r="I53" i="2" s="1"/>
  <c r="I63" i="2" s="1"/>
  <c r="I73" i="2" s="1"/>
  <c r="F36" i="2"/>
  <c r="D36" i="2"/>
  <c r="H21" i="2"/>
  <c r="H39" i="2" s="1"/>
  <c r="K36" i="2"/>
  <c r="G21" i="2"/>
  <c r="G39" i="2" s="1"/>
  <c r="G49" i="2" s="1"/>
  <c r="G53" i="2" s="1"/>
  <c r="G63" i="2" s="1"/>
  <c r="G73" i="2" s="1"/>
  <c r="F21" i="2"/>
  <c r="F39" i="2" s="1"/>
  <c r="F49" i="2" s="1"/>
  <c r="F53" i="2" s="1"/>
  <c r="F63" i="2" s="1"/>
  <c r="F73" i="2" s="1"/>
  <c r="E21" i="2"/>
  <c r="E39" i="2" s="1"/>
  <c r="E49" i="2" s="1"/>
  <c r="E53" i="2" s="1"/>
  <c r="E63" i="2" s="1"/>
  <c r="E73" i="2" s="1"/>
  <c r="G36" i="2"/>
  <c r="D21" i="2"/>
  <c r="D39" i="2" s="1"/>
  <c r="D49" i="2" s="1"/>
  <c r="D53" i="2" s="1"/>
  <c r="D63" i="2" s="1"/>
  <c r="D73" i="2" s="1"/>
  <c r="Z9" i="2"/>
  <c r="AC17" i="2"/>
  <c r="AA15" i="2"/>
  <c r="AA17" i="2"/>
  <c r="S17" i="2"/>
  <c r="S49" i="2" s="1"/>
  <c r="AB9" i="2"/>
  <c r="AB41" i="2" s="1"/>
  <c r="M79" i="2" s="1"/>
  <c r="AC14" i="2"/>
  <c r="T16" i="2"/>
  <c r="T48" i="2" s="1"/>
  <c r="AA9" i="2"/>
  <c r="AA41" i="2" s="1"/>
  <c r="L79" i="2" s="1"/>
  <c r="Y17" i="2"/>
  <c r="Y49" i="2" s="1"/>
  <c r="J87" i="2" s="1"/>
  <c r="AC8" i="2"/>
  <c r="AC40" i="2" s="1"/>
  <c r="N78" i="2" s="1"/>
  <c r="AB17" i="2"/>
  <c r="AB49" i="2" s="1"/>
  <c r="M87" i="2" s="1"/>
  <c r="AB14" i="2"/>
  <c r="AB46" i="2" s="1"/>
  <c r="M84" i="2" s="1"/>
  <c r="AA14" i="2"/>
  <c r="Y16" i="2"/>
  <c r="AB8" i="2"/>
  <c r="Y4" i="2"/>
  <c r="AA8" i="2"/>
  <c r="Z15" i="2"/>
  <c r="AC4" i="2"/>
  <c r="AC9" i="2"/>
  <c r="Z14" i="2"/>
  <c r="AA4" i="2"/>
  <c r="AA36" i="2" s="1"/>
  <c r="L74" i="2" s="1"/>
  <c r="W9" i="2"/>
  <c r="AA18" i="2"/>
  <c r="AB18" i="2"/>
  <c r="V9" i="2"/>
  <c r="U4" i="2"/>
  <c r="U36" i="2" s="1"/>
  <c r="X4" i="2"/>
  <c r="X36" i="2" s="1"/>
  <c r="I74" i="2" s="1"/>
  <c r="T4" i="2"/>
  <c r="AC16" i="2"/>
  <c r="AB4" i="2"/>
  <c r="X17" i="2"/>
  <c r="AB16" i="2"/>
  <c r="W15" i="2"/>
  <c r="AC18" i="2"/>
  <c r="X16" i="2"/>
  <c r="AB3" i="2"/>
  <c r="AB35" i="2" s="1"/>
  <c r="V15" i="2"/>
  <c r="X8" i="2"/>
  <c r="AA3" i="2"/>
  <c r="AA35" i="2" s="1"/>
  <c r="X18" i="2"/>
  <c r="S4" i="2"/>
  <c r="S36" i="2" s="1"/>
  <c r="Y18" i="2"/>
  <c r="Y3" i="2"/>
  <c r="Y35" i="2" s="1"/>
  <c r="U9" i="2"/>
  <c r="X15" i="2"/>
  <c r="Z17" i="2"/>
  <c r="U15" i="2"/>
  <c r="Z18" i="2"/>
  <c r="T9" i="2"/>
  <c r="Y14" i="2"/>
  <c r="S15" i="2"/>
  <c r="S47" i="2" s="1"/>
  <c r="W17" i="2"/>
  <c r="S9" i="2"/>
  <c r="S41" i="2" s="1"/>
  <c r="X14" i="2"/>
  <c r="Z4" i="2"/>
  <c r="Z36" i="2" s="1"/>
  <c r="K74" i="2" s="1"/>
  <c r="V17" i="2"/>
  <c r="T8" i="2"/>
  <c r="T40" i="2" s="1"/>
  <c r="Y9" i="2"/>
  <c r="Y41" i="2" s="1"/>
  <c r="J79" i="2" s="1"/>
  <c r="Z16" i="2"/>
  <c r="Z48" i="2" s="1"/>
  <c r="K86" i="2" s="1"/>
  <c r="X3" i="2"/>
  <c r="X35" i="2" s="1"/>
  <c r="T15" i="2"/>
  <c r="T14" i="2"/>
  <c r="U17" i="2"/>
  <c r="W4" i="2"/>
  <c r="Y15" i="2"/>
  <c r="V4" i="2"/>
  <c r="Z3" i="2"/>
  <c r="Z35" i="2" s="1"/>
  <c r="W18" i="2"/>
  <c r="W16" i="2"/>
  <c r="W14" i="2"/>
  <c r="W3" i="2"/>
  <c r="V18" i="2"/>
  <c r="V16" i="2"/>
  <c r="V14" i="2"/>
  <c r="V3" i="2"/>
  <c r="V35" i="2" s="1"/>
  <c r="U18" i="2"/>
  <c r="U16" i="2"/>
  <c r="U14" i="2"/>
  <c r="U3" i="2"/>
  <c r="U35" i="2" s="1"/>
  <c r="T3" i="2"/>
  <c r="T35" i="2" s="1"/>
  <c r="T18" i="2"/>
  <c r="S18" i="2"/>
  <c r="S16" i="2"/>
  <c r="S48" i="2" s="1"/>
  <c r="S14" i="2"/>
  <c r="S46" i="2" s="1"/>
  <c r="S3" i="2"/>
  <c r="S35" i="2" s="1"/>
  <c r="P14" i="2"/>
  <c r="P13" i="2"/>
  <c r="A81" i="2"/>
  <c r="A98" i="2" s="1"/>
  <c r="A77" i="2"/>
  <c r="A94" i="2" s="1"/>
  <c r="A76" i="2"/>
  <c r="A93" i="2" s="1"/>
  <c r="A86" i="2"/>
  <c r="A83" i="2"/>
  <c r="A78" i="2"/>
  <c r="A95" i="2" s="1"/>
  <c r="A80" i="2"/>
  <c r="A97" i="2" s="1"/>
  <c r="P16" i="2"/>
  <c r="A82" i="2"/>
  <c r="A99" i="2" s="1"/>
  <c r="A85" i="2"/>
  <c r="P15" i="2"/>
  <c r="A75" i="2"/>
  <c r="A92" i="2" s="1"/>
  <c r="A24" i="2"/>
  <c r="P38" i="2" s="1"/>
  <c r="P56" i="2" s="1"/>
  <c r="P74" i="2" s="1"/>
  <c r="A23" i="2"/>
  <c r="P37" i="2" s="1"/>
  <c r="P55" i="2" s="1"/>
  <c r="P73" i="2" s="1"/>
  <c r="P12" i="2"/>
  <c r="A22" i="2"/>
  <c r="P36" i="2" s="1"/>
  <c r="P54" i="2" s="1"/>
  <c r="P72" i="2" s="1"/>
  <c r="A35" i="2"/>
  <c r="P49" i="2" s="1"/>
  <c r="P67" i="2" s="1"/>
  <c r="P85" i="2" s="1"/>
  <c r="A32" i="2"/>
  <c r="P46" i="2" s="1"/>
  <c r="P64" i="2" s="1"/>
  <c r="P82" i="2" s="1"/>
  <c r="P17" i="2"/>
  <c r="A29" i="2"/>
  <c r="P43" i="2" s="1"/>
  <c r="P61" i="2" s="1"/>
  <c r="P79" i="2" s="1"/>
  <c r="A28" i="2"/>
  <c r="P42" i="2" s="1"/>
  <c r="P60" i="2" s="1"/>
  <c r="P78" i="2" s="1"/>
  <c r="A27" i="2"/>
  <c r="P41" i="2" s="1"/>
  <c r="P59" i="2" s="1"/>
  <c r="P77" i="2" s="1"/>
  <c r="P9" i="2"/>
  <c r="A26" i="2"/>
  <c r="P40" i="2" s="1"/>
  <c r="P58" i="2" s="1"/>
  <c r="P76" i="2" s="1"/>
  <c r="A25" i="2"/>
  <c r="A115" i="2"/>
  <c r="A112" i="2"/>
  <c r="B40" i="2"/>
  <c r="B41" i="2" s="1"/>
  <c r="R3" i="2"/>
  <c r="R35" i="2" s="1"/>
  <c r="R53" i="2" s="1"/>
  <c r="R71" i="2" s="1"/>
  <c r="C21" i="2"/>
  <c r="C39" i="2" s="1"/>
  <c r="C49" i="2" s="1"/>
  <c r="C53" i="2" s="1"/>
  <c r="C63" i="2" s="1"/>
  <c r="C73" i="2" s="1"/>
  <c r="C108" i="2" s="1"/>
  <c r="R12" i="4"/>
  <c r="F46" i="4"/>
  <c r="F48" i="4" s="1"/>
  <c r="R25" i="4"/>
  <c r="Q16" i="2"/>
  <c r="Q9" i="2"/>
  <c r="Q8" i="2"/>
  <c r="Q14" i="2"/>
  <c r="Q17" i="2"/>
  <c r="B22" i="2"/>
  <c r="A74" i="2"/>
  <c r="C40" i="2"/>
  <c r="C41" i="2" s="1"/>
  <c r="R14" i="2"/>
  <c r="R17" i="2"/>
  <c r="R15" i="2"/>
  <c r="R18" i="2"/>
  <c r="R16" i="2"/>
  <c r="R9" i="2"/>
  <c r="R4" i="2"/>
  <c r="R8" i="2"/>
  <c r="C4" i="3"/>
  <c r="F2" i="4" s="1"/>
  <c r="Q18" i="2"/>
  <c r="Q15" i="2"/>
  <c r="R48" i="4" l="1"/>
  <c r="R46" i="4"/>
  <c r="H54" i="2"/>
  <c r="H64" i="2" s="1"/>
  <c r="E54" i="2"/>
  <c r="E64" i="2" s="1"/>
  <c r="M54" i="2"/>
  <c r="M64" i="2" s="1"/>
  <c r="N54" i="2"/>
  <c r="N64" i="2" s="1"/>
  <c r="F54" i="2"/>
  <c r="F64" i="2" s="1"/>
  <c r="D54" i="2"/>
  <c r="D64" i="2" s="1"/>
  <c r="K54" i="2"/>
  <c r="K64" i="2" s="1"/>
  <c r="G54" i="2"/>
  <c r="G64" i="2" s="1"/>
  <c r="Z46" i="2"/>
  <c r="K84" i="2" s="1"/>
  <c r="V49" i="2"/>
  <c r="V47" i="2"/>
  <c r="V41" i="2"/>
  <c r="V36" i="2"/>
  <c r="V48" i="2"/>
  <c r="V46" i="2"/>
  <c r="AB48" i="2"/>
  <c r="M86" i="2" s="1"/>
  <c r="H49" i="2"/>
  <c r="H53" i="2" s="1"/>
  <c r="H63" i="2" s="1"/>
  <c r="H73" i="2" s="1"/>
  <c r="T41" i="2"/>
  <c r="W39" i="2"/>
  <c r="H77" i="2" s="1"/>
  <c r="W42" i="2"/>
  <c r="H80" i="2" s="1"/>
  <c r="W45" i="2"/>
  <c r="H83" i="2" s="1"/>
  <c r="W37" i="2"/>
  <c r="H75" i="2" s="1"/>
  <c r="W38" i="2"/>
  <c r="H76" i="2" s="1"/>
  <c r="W44" i="2"/>
  <c r="H82" i="2" s="1"/>
  <c r="W40" i="2"/>
  <c r="H78" i="2" s="1"/>
  <c r="W43" i="2"/>
  <c r="H81" i="2" s="1"/>
  <c r="AC37" i="2"/>
  <c r="N75" i="2" s="1"/>
  <c r="AC38" i="2"/>
  <c r="N76" i="2" s="1"/>
  <c r="AC47" i="2"/>
  <c r="N85" i="2" s="1"/>
  <c r="AC43" i="2"/>
  <c r="N81" i="2" s="1"/>
  <c r="AC39" i="2"/>
  <c r="N77" i="2" s="1"/>
  <c r="AC42" i="2"/>
  <c r="N80" i="2" s="1"/>
  <c r="AC45" i="2"/>
  <c r="N83" i="2" s="1"/>
  <c r="AC44" i="2"/>
  <c r="N82" i="2" s="1"/>
  <c r="Z37" i="2"/>
  <c r="K75" i="2" s="1"/>
  <c r="Z40" i="2"/>
  <c r="K78" i="2" s="1"/>
  <c r="Z39" i="2"/>
  <c r="K77" i="2" s="1"/>
  <c r="Z42" i="2"/>
  <c r="K80" i="2" s="1"/>
  <c r="Z45" i="2"/>
  <c r="K83" i="2" s="1"/>
  <c r="Z38" i="2"/>
  <c r="K76" i="2" s="1"/>
  <c r="Z44" i="2"/>
  <c r="K82" i="2" s="1"/>
  <c r="Z43" i="2"/>
  <c r="K81" i="2" s="1"/>
  <c r="S53" i="2"/>
  <c r="S71" i="2" s="1"/>
  <c r="W35" i="2"/>
  <c r="W46" i="2"/>
  <c r="H84" i="2" s="1"/>
  <c r="Y43" i="2"/>
  <c r="J81" i="2" s="1"/>
  <c r="Y39" i="2"/>
  <c r="J77" i="2" s="1"/>
  <c r="Y42" i="2"/>
  <c r="J80" i="2" s="1"/>
  <c r="Y45" i="2"/>
  <c r="J83" i="2" s="1"/>
  <c r="Y37" i="2"/>
  <c r="J75" i="2" s="1"/>
  <c r="Y38" i="2"/>
  <c r="J76" i="2" s="1"/>
  <c r="Y40" i="2"/>
  <c r="J78" i="2" s="1"/>
  <c r="Y44" i="2"/>
  <c r="J82" i="2" s="1"/>
  <c r="X39" i="2"/>
  <c r="I77" i="2" s="1"/>
  <c r="X42" i="2"/>
  <c r="I80" i="2" s="1"/>
  <c r="X45" i="2"/>
  <c r="I83" i="2" s="1"/>
  <c r="X38" i="2"/>
  <c r="I76" i="2" s="1"/>
  <c r="X37" i="2"/>
  <c r="I75" i="2" s="1"/>
  <c r="X41" i="2"/>
  <c r="I79" i="2" s="1"/>
  <c r="X44" i="2"/>
  <c r="I82" i="2" s="1"/>
  <c r="X43" i="2"/>
  <c r="I81" i="2" s="1"/>
  <c r="X46" i="2"/>
  <c r="I84" i="2" s="1"/>
  <c r="Y46" i="2"/>
  <c r="J84" i="2" s="1"/>
  <c r="AA49" i="2"/>
  <c r="L87" i="2" s="1"/>
  <c r="T39" i="2"/>
  <c r="T38" i="2"/>
  <c r="T44" i="2"/>
  <c r="T49" i="2"/>
  <c r="T45" i="2"/>
  <c r="T37" i="2"/>
  <c r="T42" i="2"/>
  <c r="T43" i="2"/>
  <c r="W48" i="2"/>
  <c r="H86" i="2" s="1"/>
  <c r="Y47" i="2"/>
  <c r="J85" i="2" s="1"/>
  <c r="W47" i="2"/>
  <c r="H85" i="2" s="1"/>
  <c r="Z47" i="2"/>
  <c r="K85" i="2" s="1"/>
  <c r="AA47" i="2"/>
  <c r="L85" i="2" s="1"/>
  <c r="AB43" i="2"/>
  <c r="M81" i="2" s="1"/>
  <c r="AB38" i="2"/>
  <c r="M76" i="2" s="1"/>
  <c r="AB45" i="2"/>
  <c r="M83" i="2" s="1"/>
  <c r="AB47" i="2"/>
  <c r="M85" i="2" s="1"/>
  <c r="AB39" i="2"/>
  <c r="M77" i="2" s="1"/>
  <c r="AB44" i="2"/>
  <c r="M82" i="2" s="1"/>
  <c r="AB42" i="2"/>
  <c r="M80" i="2" s="1"/>
  <c r="AB37" i="2"/>
  <c r="M75" i="2" s="1"/>
  <c r="AC36" i="2"/>
  <c r="N74" i="2" s="1"/>
  <c r="AA40" i="2"/>
  <c r="L78" i="2" s="1"/>
  <c r="AC49" i="2"/>
  <c r="N87" i="2" s="1"/>
  <c r="U45" i="2"/>
  <c r="U43" i="2"/>
  <c r="U38" i="2"/>
  <c r="U42" i="2"/>
  <c r="U44" i="2"/>
  <c r="U37" i="2"/>
  <c r="U39" i="2"/>
  <c r="W41" i="2"/>
  <c r="H79" i="2" s="1"/>
  <c r="W49" i="2"/>
  <c r="H87" i="2" s="1"/>
  <c r="AA43" i="2"/>
  <c r="L81" i="2" s="1"/>
  <c r="AA44" i="2"/>
  <c r="L82" i="2" s="1"/>
  <c r="AA39" i="2"/>
  <c r="L77" i="2" s="1"/>
  <c r="AA42" i="2"/>
  <c r="L80" i="2" s="1"/>
  <c r="AA37" i="2"/>
  <c r="L75" i="2" s="1"/>
  <c r="AA45" i="2"/>
  <c r="L83" i="2" s="1"/>
  <c r="AA48" i="2"/>
  <c r="L86" i="2" s="1"/>
  <c r="AA38" i="2"/>
  <c r="L76" i="2" s="1"/>
  <c r="U49" i="2"/>
  <c r="U47" i="2"/>
  <c r="X49" i="2"/>
  <c r="I87" i="2" s="1"/>
  <c r="Y36" i="2"/>
  <c r="J74" i="2" s="1"/>
  <c r="Z41" i="2"/>
  <c r="K79" i="2" s="1"/>
  <c r="S38" i="2"/>
  <c r="S39" i="2"/>
  <c r="S44" i="2"/>
  <c r="S42" i="2"/>
  <c r="S37" i="2"/>
  <c r="S43" i="2"/>
  <c r="S45" i="2"/>
  <c r="AC46" i="2"/>
  <c r="N84" i="2" s="1"/>
  <c r="X48" i="2"/>
  <c r="I86" i="2" s="1"/>
  <c r="AC41" i="2"/>
  <c r="N79" i="2" s="1"/>
  <c r="W36" i="2"/>
  <c r="H74" i="2" s="1"/>
  <c r="U46" i="2"/>
  <c r="T46" i="2"/>
  <c r="Z49" i="2"/>
  <c r="K87" i="2" s="1"/>
  <c r="AB36" i="2"/>
  <c r="M74" i="2" s="1"/>
  <c r="AB40" i="2"/>
  <c r="M78" i="2" s="1"/>
  <c r="V42" i="2"/>
  <c r="V45" i="2"/>
  <c r="V38" i="2"/>
  <c r="V43" i="2"/>
  <c r="V44" i="2"/>
  <c r="V40" i="2"/>
  <c r="V39" i="2"/>
  <c r="V37" i="2"/>
  <c r="X40" i="2"/>
  <c r="I78" i="2" s="1"/>
  <c r="U48" i="2"/>
  <c r="T47" i="2"/>
  <c r="X47" i="2"/>
  <c r="I85" i="2" s="1"/>
  <c r="AC48" i="2"/>
  <c r="N86" i="2" s="1"/>
  <c r="Y48" i="2"/>
  <c r="J86" i="2" s="1"/>
  <c r="U40" i="2"/>
  <c r="U41" i="2"/>
  <c r="T36" i="2"/>
  <c r="AA46" i="2"/>
  <c r="L84" i="2" s="1"/>
  <c r="S40" i="2"/>
  <c r="A114" i="2"/>
  <c r="A103" i="2"/>
  <c r="A111" i="2"/>
  <c r="A100" i="2"/>
  <c r="A113" i="2"/>
  <c r="A102" i="2"/>
  <c r="R41" i="2"/>
  <c r="R48" i="2"/>
  <c r="R49" i="2"/>
  <c r="Q41" i="2"/>
  <c r="R47" i="2"/>
  <c r="Q49" i="2"/>
  <c r="R46" i="2"/>
  <c r="Q47" i="2"/>
  <c r="R40" i="2"/>
  <c r="R36" i="2"/>
  <c r="Q48" i="2"/>
  <c r="P39" i="2"/>
  <c r="P57" i="2" s="1"/>
  <c r="P75" i="2" s="1"/>
  <c r="R37" i="2"/>
  <c r="R45" i="2"/>
  <c r="R42" i="2"/>
  <c r="R39" i="2"/>
  <c r="R43" i="2"/>
  <c r="R44" i="2"/>
  <c r="R38" i="2"/>
  <c r="Q46" i="2"/>
  <c r="Q37" i="2"/>
  <c r="Q45" i="2"/>
  <c r="Q39" i="2"/>
  <c r="Q42" i="2"/>
  <c r="Q43" i="2"/>
  <c r="Q44" i="2"/>
  <c r="Q38" i="2"/>
  <c r="Q40" i="2"/>
  <c r="B117" i="2"/>
  <c r="B13" i="3" s="1"/>
  <c r="C117" i="2"/>
  <c r="C13" i="3" s="1"/>
  <c r="A110" i="2"/>
  <c r="T53" i="2"/>
  <c r="T71" i="2" s="1"/>
  <c r="A91" i="2"/>
  <c r="A109" i="2"/>
  <c r="C36" i="2"/>
  <c r="C54" i="2" s="1"/>
  <c r="R59" i="2" s="1"/>
  <c r="B36" i="2"/>
  <c r="B54" i="2" s="1"/>
  <c r="Q64" i="2" s="1"/>
  <c r="U67" i="2"/>
  <c r="Q36" i="2"/>
  <c r="T59" i="2"/>
  <c r="L88" i="2" l="1"/>
  <c r="M88" i="2"/>
  <c r="V64" i="2"/>
  <c r="K88" i="2"/>
  <c r="J88" i="2"/>
  <c r="N88" i="2"/>
  <c r="I88" i="2"/>
  <c r="H88" i="2"/>
  <c r="S65" i="2"/>
  <c r="U58" i="2"/>
  <c r="U59" i="2"/>
  <c r="Q66" i="2"/>
  <c r="V65" i="2"/>
  <c r="V59" i="2"/>
  <c r="R65" i="2"/>
  <c r="S59" i="2"/>
  <c r="Q58" i="2"/>
  <c r="Q59" i="2"/>
  <c r="S67" i="2"/>
  <c r="S66" i="2"/>
  <c r="R67" i="2"/>
  <c r="U55" i="2"/>
  <c r="U62" i="2"/>
  <c r="U57" i="2"/>
  <c r="U60" i="2"/>
  <c r="U63" i="2"/>
  <c r="U56" i="2"/>
  <c r="U66" i="2"/>
  <c r="U61" i="2"/>
  <c r="U65" i="2"/>
  <c r="Q57" i="2"/>
  <c r="Q56" i="2"/>
  <c r="Q63" i="2"/>
  <c r="Q61" i="2"/>
  <c r="Q62" i="2"/>
  <c r="Q55" i="2"/>
  <c r="Q60" i="2"/>
  <c r="V55" i="2"/>
  <c r="V62" i="2"/>
  <c r="V60" i="2"/>
  <c r="V63" i="2"/>
  <c r="V57" i="2"/>
  <c r="V56" i="2"/>
  <c r="V61" i="2"/>
  <c r="T65" i="2"/>
  <c r="R58" i="2"/>
  <c r="T58" i="2"/>
  <c r="S60" i="2"/>
  <c r="S61" i="2"/>
  <c r="S56" i="2"/>
  <c r="S55" i="2"/>
  <c r="S62" i="2"/>
  <c r="S63" i="2"/>
  <c r="S64" i="2"/>
  <c r="S57" i="2"/>
  <c r="R60" i="2"/>
  <c r="R56" i="2"/>
  <c r="R55" i="2"/>
  <c r="R63" i="2"/>
  <c r="R61" i="2"/>
  <c r="R57" i="2"/>
  <c r="R62" i="2"/>
  <c r="T64" i="2"/>
  <c r="S58" i="2"/>
  <c r="V67" i="2"/>
  <c r="Q67" i="2"/>
  <c r="T62" i="2"/>
  <c r="T60" i="2"/>
  <c r="T63" i="2"/>
  <c r="T55" i="2"/>
  <c r="T56" i="2"/>
  <c r="T61" i="2"/>
  <c r="T57" i="2"/>
  <c r="T67" i="2"/>
  <c r="U64" i="2"/>
  <c r="T66" i="2"/>
  <c r="Q65" i="2"/>
  <c r="V58" i="2"/>
  <c r="R64" i="2"/>
  <c r="V66" i="2"/>
  <c r="R66" i="2"/>
  <c r="O13" i="3"/>
  <c r="U54" i="2"/>
  <c r="C64" i="2"/>
  <c r="S54" i="2"/>
  <c r="V54" i="2"/>
  <c r="B64" i="2"/>
  <c r="Q54" i="2"/>
  <c r="T54" i="2"/>
  <c r="R54" i="2"/>
  <c r="U53" i="2"/>
  <c r="U71" i="2" s="1"/>
  <c r="F81" i="2" l="1"/>
  <c r="E87" i="2"/>
  <c r="F83" i="2"/>
  <c r="E76" i="2"/>
  <c r="G74" i="2"/>
  <c r="E82" i="2"/>
  <c r="D75" i="2"/>
  <c r="F74" i="2"/>
  <c r="E86" i="2"/>
  <c r="D84" i="2"/>
  <c r="R72" i="2"/>
  <c r="C74" i="2" s="1"/>
  <c r="R75" i="2"/>
  <c r="C77" i="2" s="1"/>
  <c r="R73" i="2"/>
  <c r="C75" i="2" s="1"/>
  <c r="R80" i="2"/>
  <c r="C82" i="2" s="1"/>
  <c r="R78" i="2"/>
  <c r="C80" i="2" s="1"/>
  <c r="R81" i="2"/>
  <c r="C83" i="2" s="1"/>
  <c r="R74" i="2"/>
  <c r="C76" i="2" s="1"/>
  <c r="R79" i="2"/>
  <c r="C81" i="2" s="1"/>
  <c r="R77" i="2"/>
  <c r="C79" i="2" s="1"/>
  <c r="R84" i="2"/>
  <c r="C86" i="2" s="1"/>
  <c r="R76" i="2"/>
  <c r="C78" i="2" s="1"/>
  <c r="R82" i="2"/>
  <c r="C84" i="2" s="1"/>
  <c r="R85" i="2"/>
  <c r="C87" i="2" s="1"/>
  <c r="R83" i="2"/>
  <c r="C85" i="2" s="1"/>
  <c r="U75" i="2"/>
  <c r="F77" i="2" s="1"/>
  <c r="U79" i="2"/>
  <c r="U73" i="2"/>
  <c r="F75" i="2" s="1"/>
  <c r="U80" i="2"/>
  <c r="F82" i="2" s="1"/>
  <c r="U81" i="2"/>
  <c r="U78" i="2"/>
  <c r="F80" i="2" s="1"/>
  <c r="U74" i="2"/>
  <c r="F76" i="2" s="1"/>
  <c r="U84" i="2"/>
  <c r="F86" i="2" s="1"/>
  <c r="U85" i="2"/>
  <c r="F87" i="2" s="1"/>
  <c r="U83" i="2"/>
  <c r="F85" i="2" s="1"/>
  <c r="U82" i="2"/>
  <c r="F84" i="2" s="1"/>
  <c r="U77" i="2"/>
  <c r="F79" i="2" s="1"/>
  <c r="U76" i="2"/>
  <c r="F78" i="2" s="1"/>
  <c r="T75" i="2"/>
  <c r="E77" i="2" s="1"/>
  <c r="T81" i="2"/>
  <c r="E83" i="2" s="1"/>
  <c r="T73" i="2"/>
  <c r="E75" i="2" s="1"/>
  <c r="T80" i="2"/>
  <c r="T74" i="2"/>
  <c r="T78" i="2"/>
  <c r="E80" i="2" s="1"/>
  <c r="T79" i="2"/>
  <c r="E81" i="2" s="1"/>
  <c r="T85" i="2"/>
  <c r="T76" i="2"/>
  <c r="E78" i="2" s="1"/>
  <c r="T82" i="2"/>
  <c r="E84" i="2" s="1"/>
  <c r="T77" i="2"/>
  <c r="E79" i="2" s="1"/>
  <c r="T83" i="2"/>
  <c r="E85" i="2" s="1"/>
  <c r="T84" i="2"/>
  <c r="Q81" i="2"/>
  <c r="B83" i="2" s="1"/>
  <c r="Q73" i="2"/>
  <c r="B75" i="2" s="1"/>
  <c r="Q80" i="2"/>
  <c r="B82" i="2" s="1"/>
  <c r="Q78" i="2"/>
  <c r="B80" i="2" s="1"/>
  <c r="Q75" i="2"/>
  <c r="B77" i="2" s="1"/>
  <c r="Q74" i="2"/>
  <c r="B76" i="2" s="1"/>
  <c r="Q79" i="2"/>
  <c r="B81" i="2" s="1"/>
  <c r="Q76" i="2"/>
  <c r="B78" i="2" s="1"/>
  <c r="Q83" i="2"/>
  <c r="B85" i="2" s="1"/>
  <c r="Q82" i="2"/>
  <c r="B84" i="2" s="1"/>
  <c r="Q84" i="2"/>
  <c r="B86" i="2" s="1"/>
  <c r="Q85" i="2"/>
  <c r="B87" i="2" s="1"/>
  <c r="Q77" i="2"/>
  <c r="B79" i="2" s="1"/>
  <c r="V79" i="2"/>
  <c r="G81" i="2" s="1"/>
  <c r="V75" i="2"/>
  <c r="G77" i="2" s="1"/>
  <c r="V78" i="2"/>
  <c r="G80" i="2" s="1"/>
  <c r="V74" i="2"/>
  <c r="G76" i="2" s="1"/>
  <c r="V73" i="2"/>
  <c r="G75" i="2" s="1"/>
  <c r="V80" i="2"/>
  <c r="G82" i="2" s="1"/>
  <c r="V81" i="2"/>
  <c r="G83" i="2" s="1"/>
  <c r="V85" i="2"/>
  <c r="G87" i="2" s="1"/>
  <c r="V76" i="2"/>
  <c r="G78" i="2" s="1"/>
  <c r="V83" i="2"/>
  <c r="G85" i="2" s="1"/>
  <c r="V84" i="2"/>
  <c r="G86" i="2" s="1"/>
  <c r="V82" i="2"/>
  <c r="G84" i="2" s="1"/>
  <c r="V77" i="2"/>
  <c r="G79" i="2" s="1"/>
  <c r="S79" i="2"/>
  <c r="D81" i="2" s="1"/>
  <c r="S75" i="2"/>
  <c r="D77" i="2" s="1"/>
  <c r="S73" i="2"/>
  <c r="S81" i="2"/>
  <c r="D83" i="2" s="1"/>
  <c r="S80" i="2"/>
  <c r="D82" i="2" s="1"/>
  <c r="S78" i="2"/>
  <c r="D80" i="2" s="1"/>
  <c r="S74" i="2"/>
  <c r="D76" i="2" s="1"/>
  <c r="S82" i="2"/>
  <c r="S85" i="2"/>
  <c r="D87" i="2" s="1"/>
  <c r="S77" i="2"/>
  <c r="D79" i="2" s="1"/>
  <c r="S83" i="2"/>
  <c r="D85" i="2" s="1"/>
  <c r="S76" i="2"/>
  <c r="D78" i="2" s="1"/>
  <c r="S84" i="2"/>
  <c r="D86" i="2" s="1"/>
  <c r="U72" i="2"/>
  <c r="V72" i="2"/>
  <c r="Q72" i="2"/>
  <c r="B74" i="2" s="1"/>
  <c r="V53" i="2"/>
  <c r="V71" i="2" s="1"/>
  <c r="T72" i="2"/>
  <c r="E74" i="2" s="1"/>
  <c r="S72" i="2"/>
  <c r="D74" i="2" s="1"/>
  <c r="M113" i="2" l="1"/>
  <c r="N113" i="2"/>
  <c r="D113" i="2"/>
  <c r="G113" i="2"/>
  <c r="J113" i="2"/>
  <c r="E113" i="2"/>
  <c r="K113" i="2"/>
  <c r="L113" i="2"/>
  <c r="I113" i="2"/>
  <c r="F113" i="2"/>
  <c r="H113" i="2"/>
  <c r="G115" i="2"/>
  <c r="L115" i="2"/>
  <c r="M115" i="2"/>
  <c r="F115" i="2"/>
  <c r="H115" i="2"/>
  <c r="K115" i="2"/>
  <c r="E115" i="2"/>
  <c r="I115" i="2"/>
  <c r="N115" i="2"/>
  <c r="J115" i="2"/>
  <c r="D115" i="2"/>
  <c r="J114" i="2"/>
  <c r="G114" i="2"/>
  <c r="D114" i="2"/>
  <c r="H114" i="2"/>
  <c r="K114" i="2"/>
  <c r="E114" i="2"/>
  <c r="I114" i="2"/>
  <c r="M114" i="2"/>
  <c r="F114" i="2"/>
  <c r="L114" i="2"/>
  <c r="N114" i="2"/>
  <c r="H110" i="2"/>
  <c r="E110" i="2"/>
  <c r="I110" i="2"/>
  <c r="J110" i="2"/>
  <c r="D110" i="2"/>
  <c r="K110" i="2"/>
  <c r="L110" i="2"/>
  <c r="N110" i="2"/>
  <c r="F110" i="2"/>
  <c r="M110" i="2"/>
  <c r="G110" i="2"/>
  <c r="J112" i="2"/>
  <c r="D112" i="2"/>
  <c r="I112" i="2"/>
  <c r="N112" i="2"/>
  <c r="E112" i="2"/>
  <c r="H112" i="2"/>
  <c r="F112" i="2"/>
  <c r="G112" i="2"/>
  <c r="K112" i="2"/>
  <c r="L112" i="2"/>
  <c r="M112" i="2"/>
  <c r="M111" i="2"/>
  <c r="N111" i="2"/>
  <c r="I111" i="2"/>
  <c r="G111" i="2"/>
  <c r="K111" i="2"/>
  <c r="F111" i="2"/>
  <c r="H111" i="2"/>
  <c r="L111" i="2"/>
  <c r="J111" i="2"/>
  <c r="D111" i="2"/>
  <c r="E111" i="2"/>
  <c r="H109" i="2"/>
  <c r="N109" i="2"/>
  <c r="I109" i="2"/>
  <c r="E109" i="2"/>
  <c r="J109" i="2"/>
  <c r="K109" i="2"/>
  <c r="D109" i="2"/>
  <c r="L109" i="2"/>
  <c r="M109" i="2"/>
  <c r="G109" i="2"/>
  <c r="F109" i="2"/>
  <c r="D88" i="2"/>
  <c r="F88" i="2"/>
  <c r="E88" i="2"/>
  <c r="G88" i="2"/>
  <c r="C88" i="2"/>
  <c r="B88" i="2"/>
  <c r="B113" i="2"/>
  <c r="B9" i="3" s="1"/>
  <c r="C113" i="2"/>
  <c r="C9" i="3" s="1"/>
  <c r="B115" i="2"/>
  <c r="B11" i="3" s="1"/>
  <c r="C115" i="2"/>
  <c r="C11" i="3" s="1"/>
  <c r="B112" i="2"/>
  <c r="B8" i="3" s="1"/>
  <c r="C112" i="2"/>
  <c r="C8" i="3" s="1"/>
  <c r="B114" i="2"/>
  <c r="B10" i="3" s="1"/>
  <c r="C114" i="2"/>
  <c r="C10" i="3" s="1"/>
  <c r="B111" i="2"/>
  <c r="B7" i="3" s="1"/>
  <c r="C111" i="2"/>
  <c r="C7" i="3" s="1"/>
  <c r="B110" i="2"/>
  <c r="C110" i="2"/>
  <c r="C6" i="3" s="1"/>
  <c r="C109" i="2"/>
  <c r="B109" i="2"/>
  <c r="B120" i="2" l="1"/>
  <c r="K116" i="2"/>
  <c r="K118" i="2" s="1"/>
  <c r="M116" i="2"/>
  <c r="M118" i="2" s="1"/>
  <c r="N116" i="2"/>
  <c r="N118" i="2" s="1"/>
  <c r="F116" i="2"/>
  <c r="F118" i="2" s="1"/>
  <c r="L116" i="2"/>
  <c r="L118" i="2" s="1"/>
  <c r="I116" i="2"/>
  <c r="I118" i="2" s="1"/>
  <c r="D116" i="2"/>
  <c r="D118" i="2" s="1"/>
  <c r="J116" i="2"/>
  <c r="J118" i="2" s="1"/>
  <c r="E116" i="2"/>
  <c r="E118" i="2" s="1"/>
  <c r="G116" i="2"/>
  <c r="G118" i="2" s="1"/>
  <c r="H116" i="2"/>
  <c r="H118" i="2" s="1"/>
  <c r="B6" i="3"/>
  <c r="O8" i="3"/>
  <c r="O11" i="3"/>
  <c r="O10" i="3"/>
  <c r="O9" i="3"/>
  <c r="B116" i="2"/>
  <c r="B12" i="3" s="1"/>
  <c r="C116" i="2"/>
  <c r="C12" i="3" s="1"/>
  <c r="B5" i="3"/>
  <c r="C5" i="3"/>
  <c r="C118" i="2" l="1"/>
  <c r="C14" i="3" s="1"/>
  <c r="C15" i="3" s="1"/>
  <c r="B118" i="2"/>
  <c r="B14" i="3" s="1"/>
  <c r="O12" i="3" l="1"/>
  <c r="O14" i="3"/>
  <c r="B15" i="3"/>
  <c r="B1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200-000001000000}">
      <text>
        <r>
          <rPr>
            <sz val="10"/>
            <color rgb="FF000000"/>
            <rFont val="Arial"/>
            <family val="2"/>
          </rPr>
          <t>======
ID#AAAARXQBfBQ
    (2021-10-31 18:41:56)
Indicar si el costo incurre en costo Operativo o de Capital</t>
        </r>
      </text>
    </comment>
  </commentList>
  <extLst>
    <ext xmlns:r="http://schemas.openxmlformats.org/officeDocument/2006/relationships" uri="GoogleSheetsCustomDataVersion1">
      <go:sheetsCustomData xmlns:go="http://customooxmlschemas.google.com/" r:id="rId1" roundtripDataSignature="AMtx7mjfb8SmqYeHsX0WRpjqhzSj7PdB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2" authorId="0" shapeId="0" xr:uid="{00000000-0006-0000-0300-000004000000}">
      <text>
        <r>
          <rPr>
            <sz val="10"/>
            <color rgb="FF000000"/>
            <rFont val="Arial"/>
            <family val="2"/>
          </rPr>
          <t>======
ID#AAAARXQBfBY
    (2021-10-31 18:41:56)
Indicar si el costo incurre en costo Operativo o de Capital</t>
        </r>
      </text>
    </comment>
    <comment ref="A29" authorId="0" shapeId="0" xr:uid="{00000000-0006-0000-0300-000001000000}">
      <text>
        <r>
          <rPr>
            <sz val="10"/>
            <color rgb="FF000000"/>
            <rFont val="Arial"/>
            <family val="2"/>
          </rPr>
          <t>======
ID#AAAARXQBfBg
    (2021-10-31 18:41:56)
Costo de los recursos humanos que se van a dedicar a dar el servicio.</t>
        </r>
      </text>
    </comment>
    <comment ref="B29" authorId="0" shapeId="0" xr:uid="{00000000-0006-0000-0300-000003000000}">
      <text>
        <r>
          <rPr>
            <sz val="10"/>
            <color rgb="FF000000"/>
            <rFont val="Arial"/>
            <family val="2"/>
          </rPr>
          <t>======
ID#AAAARXQBfBU
    (2021-10-31 18:41:56)
Costo de los recursos humanos que se van a dedicar a dar el servicio.</t>
        </r>
      </text>
    </comment>
    <comment ref="B35" authorId="0" shapeId="0" xr:uid="{00000000-0006-0000-0300-000002000000}">
      <text>
        <r>
          <rPr>
            <sz val="10"/>
            <color rgb="FF000000"/>
            <rFont val="Arial"/>
            <family val="2"/>
          </rPr>
          <t>======
ID#AAAARXQBfBc
    (2021-10-31 18:41:56)
Costo de los recursos humanos que se van a dedicar a dar el servicio.</t>
        </r>
      </text>
    </comment>
  </commentList>
  <extLst>
    <ext xmlns:r="http://schemas.openxmlformats.org/officeDocument/2006/relationships" uri="GoogleSheetsCustomDataVersion1">
      <go:sheetsCustomData xmlns:go="http://customooxmlschemas.google.com/" r:id="rId1" roundtripDataSignature="AMtx7mivv2yx4z1q3f5zbvRv6DMF54ByZg=="/>
    </ext>
  </extLst>
</comments>
</file>

<file path=xl/sharedStrings.xml><?xml version="1.0" encoding="utf-8"?>
<sst xmlns="http://schemas.openxmlformats.org/spreadsheetml/2006/main" count="137" uniqueCount="124">
  <si>
    <t>SUELDO BRUTO</t>
  </si>
  <si>
    <t>SUELDO BRUTO C/SAC</t>
  </si>
  <si>
    <t>CS PV (36,88%)</t>
  </si>
  <si>
    <t>HS MENSUALES</t>
  </si>
  <si>
    <t>VALOR HORA</t>
  </si>
  <si>
    <t>CS</t>
  </si>
  <si>
    <t>CARGAS SOCIALES</t>
  </si>
  <si>
    <t>PV</t>
  </si>
  <si>
    <t>PLUS VACACIONAL</t>
  </si>
  <si>
    <t>INSTRUCCIONES PARA USAR LA PLANILLA</t>
  </si>
  <si>
    <t>1) COMPLETAR EN ESTA HOJA EL NOMBRE, ROL Y SUELDO BRUTO DE CADA INTEGRANTE DEL PROYECTO (EN AMARILLO)</t>
  </si>
  <si>
    <t>2) COMPLETAR EN LA HOJA CALCULOS LA CANTIDAD DE HORAS POR CADA INTEGRANTE DEL EQUIPO POR MES. ESTE DATO LO PUEDE CALCULAR AUTOMÁTICAMENTE EL MS PROJECT EN LA HOJA DE RECURSOS, CAMBIANDO LA ESCALA HACIENDO CLICK DERECHO SOBRE LA LINEA DE TIEMPO.</t>
  </si>
  <si>
    <t>3) COMPLETAR EL COSTO ASOCIADO A RIESGOS, TAMBIEN MARCADO EN AMARILLO EN LA HOJA DE CALCULOS</t>
  </si>
  <si>
    <t>AUXILIAR COSTOS</t>
  </si>
  <si>
    <r>
      <rPr>
        <b/>
        <sz val="14"/>
        <color rgb="FFFF0000"/>
        <rFont val="Calibri (Cuerpo)"/>
      </rPr>
      <t>1)</t>
    </r>
    <r>
      <rPr>
        <b/>
        <sz val="14"/>
        <color theme="1"/>
        <rFont val="Calibri"/>
        <family val="2"/>
      </rPr>
      <t xml:space="preserve"> HORAS (Sale de Project)</t>
    </r>
  </si>
  <si>
    <t>Porcentaje distrubución de hs sobre total</t>
  </si>
  <si>
    <t>Resource Name</t>
  </si>
  <si>
    <t>TOTAL</t>
  </si>
  <si>
    <t>COSTO (PELDAÑO 1)</t>
  </si>
  <si>
    <t>TOTAL Peldaño 1</t>
  </si>
  <si>
    <r>
      <rPr>
        <b/>
        <sz val="14"/>
        <color rgb="FFFF0000"/>
        <rFont val="Calibri (Cuerpo)"/>
      </rPr>
      <t>2)</t>
    </r>
    <r>
      <rPr>
        <sz val="14"/>
        <color theme="1"/>
        <rFont val="Calibri"/>
        <family val="2"/>
      </rPr>
      <t xml:space="preserve"> PELDAÑO GESTIÓN</t>
    </r>
  </si>
  <si>
    <t>Prorrateo P2 Gestion por rol y mes</t>
  </si>
  <si>
    <t>Horas Peldaño 2 Gestión</t>
  </si>
  <si>
    <t>Peldaño 2 Gestión</t>
  </si>
  <si>
    <r>
      <rPr>
        <b/>
        <sz val="14"/>
        <color rgb="FFFF0000"/>
        <rFont val="Calibri (Cuerpo)"/>
      </rPr>
      <t>3)</t>
    </r>
    <r>
      <rPr>
        <sz val="14"/>
        <color theme="1"/>
        <rFont val="Calibri"/>
        <family val="2"/>
      </rPr>
      <t xml:space="preserve"> PELDAÑO 3 RESERVA CONTINGENCIA</t>
    </r>
  </si>
  <si>
    <t>Peldaño 3 Reserva Contingencia</t>
  </si>
  <si>
    <r>
      <rPr>
        <b/>
        <sz val="14"/>
        <color rgb="FFFF0000"/>
        <rFont val="Calibri (Cuerpo)"/>
      </rPr>
      <t>4)</t>
    </r>
    <r>
      <rPr>
        <sz val="14"/>
        <color theme="1"/>
        <rFont val="Calibri"/>
        <family val="2"/>
      </rPr>
      <t xml:space="preserve"> PELDAÑO 4 RESERVA ADMINISTRATIVA</t>
    </r>
  </si>
  <si>
    <t>Prorrateo P4 Gestion por rol y mes</t>
  </si>
  <si>
    <t>Peldaño 4 Reserva Adm.  40%</t>
  </si>
  <si>
    <r>
      <rPr>
        <b/>
        <sz val="14"/>
        <color rgb="FFFF0000"/>
        <rFont val="Calibri (Cuerpo)"/>
      </rPr>
      <t>5)</t>
    </r>
    <r>
      <rPr>
        <sz val="14"/>
        <color theme="1"/>
        <rFont val="Calibri"/>
        <family val="2"/>
      </rPr>
      <t xml:space="preserve"> PELDAÑO 5 GANANCIA</t>
    </r>
  </si>
  <si>
    <t>Prorrateo P5 Gestion por rol y mes</t>
  </si>
  <si>
    <t>Peldaño 5 Ganancia 35%</t>
  </si>
  <si>
    <t>Total x Rol y mes de TODA la pirámide.</t>
  </si>
  <si>
    <t>Total</t>
  </si>
  <si>
    <t>SETUP INICIAL</t>
  </si>
  <si>
    <t>DISTRIBUCIÓN DE COSTOS UNIFORME</t>
  </si>
  <si>
    <t>TOTAL PROYECTO</t>
  </si>
  <si>
    <r>
      <rPr>
        <b/>
        <sz val="11"/>
        <color theme="1"/>
        <rFont val="Arial"/>
        <family val="2"/>
      </rPr>
      <t xml:space="preserve">
Presupuesto de Costos . Calculo de TCO. 
P&amp;L (Profit &amp; Loss, perdidas y ganancias)
</t>
    </r>
    <r>
      <rPr>
        <sz val="9"/>
        <color rgb="FF0000FF"/>
        <rFont val="Arial"/>
        <family val="2"/>
      </rPr>
      <t xml:space="preserve">Pricing Cloud AWS: https://calculator.s3.amazonaws.com/index.html
Princing Cloud Azure: https://azure.microsoft.com/en-us/pricing/calculator/
Pricing Cloud https://cloud.google.com/products/calculator/
Pricing PaaS Heroku: https://www.heroku.com/pricing
</t>
    </r>
  </si>
  <si>
    <t>Equipo de Proyecto</t>
  </si>
  <si>
    <t>Meses</t>
  </si>
  <si>
    <t>Costos Totales por categoría</t>
  </si>
  <si>
    <t>Consideraciones, y detalles de los costos incluidos en cada partida</t>
  </si>
  <si>
    <t>Rol / Mes</t>
  </si>
  <si>
    <t>Totales Flujo de Fondos</t>
  </si>
  <si>
    <t>Costo total del Proyecto</t>
  </si>
  <si>
    <t>Promedio Costo Mensual</t>
  </si>
  <si>
    <r>
      <rPr>
        <b/>
        <sz val="11"/>
        <color theme="1"/>
        <rFont val="Arial"/>
        <family val="2"/>
      </rPr>
      <t xml:space="preserve">
Estimación de Costos . Calculo de TCO. 
P&amp;L (Profit &amp; Loss, perdidas y ganancias)
</t>
    </r>
    <r>
      <rPr>
        <sz val="9"/>
        <color rgb="FF0000FF"/>
        <rFont val="Arial"/>
        <family val="2"/>
      </rPr>
      <t>Pricing Cloud AWS: https://calculator.s3.amazonaws.com/index.html
Princing Cloud Azure: https://azure.microsoft.com/en-us/pricing/calculator/
Pricing Cloud https://cloud.google.com/products/calculator/
Pricing PaaS Heroku: https://www.heroku.com/pricing</t>
    </r>
    <r>
      <rPr>
        <sz val="9"/>
        <color theme="1"/>
        <rFont val="Arial"/>
        <family val="2"/>
      </rPr>
      <t xml:space="preserve">
</t>
    </r>
  </si>
  <si>
    <t>ID</t>
  </si>
  <si>
    <t>Categoría</t>
  </si>
  <si>
    <t>Concepto</t>
  </si>
  <si>
    <t>Oficinas</t>
  </si>
  <si>
    <t>Facilities</t>
  </si>
  <si>
    <t>Alquiler/Expensas</t>
  </si>
  <si>
    <t>Electricidad/Agua/Impuestos Varios</t>
  </si>
  <si>
    <t>Internet</t>
  </si>
  <si>
    <t>Equipos de oficina (laptops/tablets/Celulares/movilidad)</t>
  </si>
  <si>
    <t>Viaticos del equipo de trabajo</t>
  </si>
  <si>
    <t>Limpieza</t>
  </si>
  <si>
    <t>Otros/cafetera!</t>
  </si>
  <si>
    <t>Infraestructura</t>
  </si>
  <si>
    <t>Licencias de SW Base</t>
  </si>
  <si>
    <t>Compra Licencias de Sistema Operativo</t>
  </si>
  <si>
    <t>Costo Mensual de Licencias de Sistema Operativo</t>
  </si>
  <si>
    <t>Servicios Cloud/OnPrem</t>
  </si>
  <si>
    <t>Costo de Instancias / Servicios</t>
  </si>
  <si>
    <t>Costo de Almacenamiento</t>
  </si>
  <si>
    <t>Otros componentes de infraestructura</t>
  </si>
  <si>
    <t>Costo de Monitoreo</t>
  </si>
  <si>
    <t>Tráfico Web</t>
  </si>
  <si>
    <t>Licenciamiento de Sistemas Operativos</t>
  </si>
  <si>
    <t>Sistemas/Almacenamiento de Backup</t>
  </si>
  <si>
    <t>Ingeniería de 
Software</t>
  </si>
  <si>
    <t>Herramientas de Integración</t>
  </si>
  <si>
    <t>Jenkins</t>
  </si>
  <si>
    <t>Herramientas de Testing</t>
  </si>
  <si>
    <t>Selenium</t>
  </si>
  <si>
    <t>Herramientas de Monitoreo</t>
  </si>
  <si>
    <t>Repositorios de Versionado</t>
  </si>
  <si>
    <t>Bitbucket 7 usuarios a USD 3 c/u</t>
  </si>
  <si>
    <t>Compra de Herramientas Previas</t>
  </si>
  <si>
    <t>Otras Herramientas</t>
  </si>
  <si>
    <t xml:space="preserve">HR
(considerar revisiones salariales a lo largo del año) </t>
  </si>
  <si>
    <t>Equipo de Dirección</t>
  </si>
  <si>
    <t>(Detallar cada miembro del equipo)</t>
  </si>
  <si>
    <t>Equipo de Infraestructura</t>
  </si>
  <si>
    <t>...</t>
  </si>
  <si>
    <t>Equipo de Desarrollo</t>
  </si>
  <si>
    <t>Equipo de Administración/finanzas</t>
  </si>
  <si>
    <t>Equipo de marketing digital</t>
  </si>
  <si>
    <t>Equipo de comercial</t>
  </si>
  <si>
    <t>Comercial
Marketing Digital</t>
  </si>
  <si>
    <t>Diseño</t>
  </si>
  <si>
    <t>Diseño de Marca / Logo / Poster</t>
  </si>
  <si>
    <t>Facebook</t>
  </si>
  <si>
    <t>Facebook Ads</t>
  </si>
  <si>
    <t>Instagram</t>
  </si>
  <si>
    <t>Instagram Ads</t>
  </si>
  <si>
    <t>Google</t>
  </si>
  <si>
    <t>Adwords</t>
  </si>
  <si>
    <t>Adsense</t>
  </si>
  <si>
    <t xml:space="preserve">Mailing </t>
  </si>
  <si>
    <t>Mailchimp/Sendgrid/...</t>
  </si>
  <si>
    <t>SMS</t>
  </si>
  <si>
    <t>Twilio/AWS SNS/...</t>
  </si>
  <si>
    <t>Otros</t>
  </si>
  <si>
    <t>Otros conceptos variables</t>
  </si>
  <si>
    <t>Otros conceptos fijos</t>
  </si>
  <si>
    <t>Totales</t>
  </si>
  <si>
    <t>TOTAL USD</t>
  </si>
  <si>
    <t>Cotizacion de moneda extranjera (USD) proyectada</t>
  </si>
  <si>
    <t>Project Manager</t>
  </si>
  <si>
    <t>Analista Funcional</t>
  </si>
  <si>
    <t>Sponsor</t>
  </si>
  <si>
    <t>Institución Piloto</t>
  </si>
  <si>
    <t>Product Owner</t>
  </si>
  <si>
    <t>Finanzas</t>
  </si>
  <si>
    <t>Arquitecto de Software</t>
  </si>
  <si>
    <t>DevOps</t>
  </si>
  <si>
    <t>Responsable de Seguridad</t>
  </si>
  <si>
    <t>Arquitecto de Base de Datos</t>
  </si>
  <si>
    <t>Desarrollador Backend</t>
  </si>
  <si>
    <t>Desarrollador Frontend</t>
  </si>
  <si>
    <t>QA Consultant</t>
  </si>
  <si>
    <t>Soporte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</si>
</sst>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quot;$&quot;\ * #,##0.00_);_(&quot;$&quot;\ * \(#,##0.00\);_(&quot;$&quot;\ * &quot;-&quot;??_);_(@_)"/>
    <numFmt numFmtId="166" formatCode="[$ $]#,##0.00"/>
  </numFmts>
  <fonts count="31">
    <font>
      <sz val="10"/>
      <color rgb="FF000000"/>
      <name val="Arial"/>
    </font>
    <font>
      <sz val="11"/>
      <color theme="1"/>
      <name val="Calibri"/>
      <family val="2"/>
    </font>
    <font>
      <sz val="8"/>
      <color rgb="FF000000"/>
      <name val="Arial"/>
      <family val="2"/>
    </font>
    <font>
      <sz val="11"/>
      <color rgb="FFFF0000"/>
      <name val="Calibri"/>
      <family val="2"/>
    </font>
    <font>
      <b/>
      <sz val="16"/>
      <color theme="1"/>
      <name val="Calibri"/>
      <family val="2"/>
    </font>
    <font>
      <sz val="10"/>
      <name val="Arial"/>
      <family val="2"/>
    </font>
    <font>
      <b/>
      <sz val="14"/>
      <color theme="1"/>
      <name val="Calibri"/>
      <family val="2"/>
    </font>
    <font>
      <sz val="8"/>
      <color rgb="FF363636"/>
      <name val="Arial"/>
      <family val="2"/>
    </font>
    <font>
      <b/>
      <i/>
      <sz val="8"/>
      <color rgb="FF000000"/>
      <name val="Arial"/>
      <family val="2"/>
    </font>
    <font>
      <b/>
      <sz val="11"/>
      <color theme="1"/>
      <name val="Calibri"/>
      <family val="2"/>
    </font>
    <font>
      <b/>
      <sz val="8"/>
      <color rgb="FF000000"/>
      <name val="Arial"/>
      <family val="2"/>
    </font>
    <font>
      <sz val="14"/>
      <color theme="1"/>
      <name val="Calibri"/>
      <family val="2"/>
    </font>
    <font>
      <i/>
      <sz val="8"/>
      <color rgb="FF000000"/>
      <name val="Arial"/>
      <family val="2"/>
    </font>
    <font>
      <b/>
      <sz val="11"/>
      <color rgb="FFFF0000"/>
      <name val="Calibri"/>
      <family val="2"/>
    </font>
    <font>
      <sz val="8"/>
      <color rgb="FFFF0000"/>
      <name val="Arial"/>
      <family val="2"/>
    </font>
    <font>
      <i/>
      <sz val="8"/>
      <color rgb="FFFF0000"/>
      <name val="Arial"/>
      <family val="2"/>
    </font>
    <font>
      <b/>
      <sz val="14"/>
      <color rgb="FFFF0000"/>
      <name val="Calibri"/>
      <family val="2"/>
    </font>
    <font>
      <b/>
      <sz val="11"/>
      <color theme="1"/>
      <name val="Arial"/>
      <family val="2"/>
    </font>
    <font>
      <b/>
      <sz val="11"/>
      <color rgb="FF000000"/>
      <name val="Arial"/>
      <family val="2"/>
    </font>
    <font>
      <sz val="11"/>
      <color theme="1"/>
      <name val="Arial"/>
      <family val="2"/>
    </font>
    <font>
      <sz val="10"/>
      <color theme="1"/>
      <name val="Arial"/>
      <family val="2"/>
    </font>
    <font>
      <sz val="9"/>
      <color theme="1"/>
      <name val="Arial"/>
      <family val="2"/>
    </font>
    <font>
      <b/>
      <sz val="11"/>
      <color rgb="FFFFFFFF"/>
      <name val="Arial"/>
      <family val="2"/>
    </font>
    <font>
      <sz val="11"/>
      <color rgb="FFFFFFFF"/>
      <name val="Arial"/>
      <family val="2"/>
    </font>
    <font>
      <b/>
      <sz val="9"/>
      <color theme="1"/>
      <name val="Arial"/>
      <family val="2"/>
    </font>
    <font>
      <b/>
      <sz val="10"/>
      <color rgb="FFFFFFFF"/>
      <name val="Arial"/>
      <family val="2"/>
    </font>
    <font>
      <sz val="10"/>
      <color rgb="FFFFFFFF"/>
      <name val="Arial"/>
      <family val="2"/>
    </font>
    <font>
      <b/>
      <sz val="10"/>
      <color theme="1"/>
      <name val="Arial"/>
      <family val="2"/>
    </font>
    <font>
      <b/>
      <sz val="14"/>
      <color rgb="FFFF0000"/>
      <name val="Calibri (Cuerpo)"/>
    </font>
    <font>
      <sz val="9"/>
      <color rgb="FF0000FF"/>
      <name val="Arial"/>
      <family val="2"/>
    </font>
    <font>
      <sz val="10"/>
      <color rgb="FF000000"/>
      <name val="Arial"/>
      <family val="2"/>
    </font>
  </fonts>
  <fills count="22">
    <fill>
      <patternFill patternType="none"/>
    </fill>
    <fill>
      <patternFill patternType="gray125"/>
    </fill>
    <fill>
      <patternFill patternType="solid">
        <fgColor rgb="FFD9E2F3"/>
        <bgColor rgb="FFD9E2F3"/>
      </patternFill>
    </fill>
    <fill>
      <patternFill patternType="solid">
        <fgColor rgb="FFFFFF00"/>
        <bgColor rgb="FFFFFF00"/>
      </patternFill>
    </fill>
    <fill>
      <patternFill patternType="solid">
        <fgColor rgb="FFE2EFD9"/>
        <bgColor rgb="FFE2EFD9"/>
      </patternFill>
    </fill>
    <fill>
      <patternFill patternType="solid">
        <fgColor rgb="FFDFE3E8"/>
        <bgColor rgb="FFDFE3E8"/>
      </patternFill>
    </fill>
    <fill>
      <patternFill patternType="solid">
        <fgColor rgb="FFF2F2F2"/>
        <bgColor rgb="FFF2F2F2"/>
      </patternFill>
    </fill>
    <fill>
      <patternFill patternType="solid">
        <fgColor rgb="FFECECEC"/>
        <bgColor rgb="FFECECEC"/>
      </patternFill>
    </fill>
    <fill>
      <patternFill patternType="solid">
        <fgColor rgb="FFFFFFFF"/>
        <bgColor rgb="FFFFFFFF"/>
      </patternFill>
    </fill>
    <fill>
      <patternFill patternType="solid">
        <fgColor rgb="FFD8D8D8"/>
        <bgColor rgb="FFD8D8D8"/>
      </patternFill>
    </fill>
    <fill>
      <patternFill patternType="solid">
        <fgColor rgb="FFCFE2F3"/>
        <bgColor rgb="FFCFE2F3"/>
      </patternFill>
    </fill>
    <fill>
      <patternFill patternType="solid">
        <fgColor rgb="FFD9EAD3"/>
        <bgColor rgb="FFD9EAD3"/>
      </patternFill>
    </fill>
    <fill>
      <patternFill patternType="solid">
        <fgColor rgb="FF9FC5E8"/>
        <bgColor rgb="FF9FC5E8"/>
      </patternFill>
    </fill>
    <fill>
      <patternFill patternType="solid">
        <fgColor rgb="FF000000"/>
        <bgColor rgb="FF000000"/>
      </patternFill>
    </fill>
    <fill>
      <patternFill patternType="solid">
        <fgColor rgb="FF666666"/>
        <bgColor rgb="FF666666"/>
      </patternFill>
    </fill>
    <fill>
      <patternFill patternType="solid">
        <fgColor rgb="FFEAD1DC"/>
        <bgColor rgb="FFEAD1DC"/>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AEABAB"/>
        <bgColor rgb="FFAEABAB"/>
      </patternFill>
    </fill>
    <fill>
      <patternFill patternType="solid">
        <fgColor rgb="FFEFEFEF"/>
        <bgColor rgb="FFEFEFEF"/>
      </patternFill>
    </fill>
    <fill>
      <patternFill patternType="solid">
        <fgColor theme="0"/>
        <bgColor rgb="FFFFFF00"/>
      </patternFill>
    </fill>
  </fills>
  <borders count="38">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1BBCC"/>
      </left>
      <right style="thin">
        <color rgb="FFB1BBCC"/>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medium">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right style="thin">
        <color rgb="FF000000"/>
      </right>
      <top/>
      <bottom style="thin">
        <color rgb="FF000000"/>
      </bottom>
      <diagonal/>
    </border>
  </borders>
  <cellStyleXfs count="1">
    <xf numFmtId="0" fontId="0" fillId="0" borderId="0"/>
  </cellStyleXfs>
  <cellXfs count="162">
    <xf numFmtId="0" fontId="0" fillId="0" borderId="0" xfId="0"/>
    <xf numFmtId="0" fontId="1" fillId="0" borderId="1" xfId="0" applyFont="1" applyBorder="1"/>
    <xf numFmtId="0" fontId="1" fillId="0" borderId="2" xfId="0" applyFont="1" applyBorder="1" applyAlignment="1">
      <alignment horizontal="center"/>
    </xf>
    <xf numFmtId="0" fontId="1" fillId="0" borderId="2" xfId="0" applyFont="1" applyBorder="1"/>
    <xf numFmtId="0" fontId="1" fillId="2" borderId="3" xfId="0" applyFont="1" applyFill="1" applyBorder="1"/>
    <xf numFmtId="0" fontId="1" fillId="0" borderId="0" xfId="0" applyFont="1"/>
    <xf numFmtId="0" fontId="2" fillId="3" borderId="4" xfId="0" applyFont="1" applyFill="1" applyBorder="1" applyAlignment="1">
      <alignment vertical="center" wrapText="1"/>
    </xf>
    <xf numFmtId="164" fontId="0" fillId="3" borderId="5" xfId="0" applyNumberFormat="1" applyFill="1" applyBorder="1"/>
    <xf numFmtId="164" fontId="0" fillId="0" borderId="5" xfId="0" applyNumberFormat="1" applyBorder="1"/>
    <xf numFmtId="165" fontId="1" fillId="0" borderId="5" xfId="0" applyNumberFormat="1" applyFont="1" applyBorder="1"/>
    <xf numFmtId="0" fontId="1" fillId="0" borderId="5" xfId="0" applyFont="1" applyBorder="1"/>
    <xf numFmtId="164" fontId="3" fillId="2" borderId="6" xfId="0" applyNumberFormat="1" applyFont="1" applyFill="1" applyBorder="1"/>
    <xf numFmtId="0" fontId="1" fillId="0" borderId="5" xfId="0" applyFont="1" applyBorder="1" applyAlignment="1">
      <alignment horizontal="center" vertical="center"/>
    </xf>
    <xf numFmtId="17" fontId="1" fillId="3" borderId="5" xfId="0" applyNumberFormat="1" applyFont="1" applyFill="1" applyBorder="1" applyAlignment="1">
      <alignment horizontal="center" vertical="center"/>
    </xf>
    <xf numFmtId="17" fontId="1" fillId="2" borderId="5" xfId="0" applyNumberFormat="1" applyFont="1" applyFill="1" applyBorder="1" applyAlignment="1">
      <alignment horizontal="center" vertical="center"/>
    </xf>
    <xf numFmtId="0" fontId="1" fillId="0" borderId="0" xfId="0" applyFont="1" applyAlignment="1">
      <alignment horizontal="center" vertical="center"/>
    </xf>
    <xf numFmtId="0" fontId="7" fillId="5" borderId="5" xfId="0" applyFont="1" applyFill="1" applyBorder="1" applyAlignment="1">
      <alignment horizontal="center" vertical="center" wrapText="1"/>
    </xf>
    <xf numFmtId="0" fontId="2" fillId="6" borderId="5" xfId="0" applyFont="1" applyFill="1" applyBorder="1" applyAlignment="1">
      <alignment vertical="center" wrapText="1"/>
    </xf>
    <xf numFmtId="0" fontId="1" fillId="3" borderId="5" xfId="0" applyFont="1" applyFill="1" applyBorder="1" applyAlignment="1">
      <alignment horizontal="center"/>
    </xf>
    <xf numFmtId="10" fontId="0" fillId="0" borderId="5" xfId="0" applyNumberFormat="1" applyBorder="1"/>
    <xf numFmtId="0" fontId="8" fillId="4" borderId="5" xfId="0" applyFont="1" applyFill="1" applyBorder="1" applyAlignment="1">
      <alignment horizontal="right" vertical="center" wrapText="1"/>
    </xf>
    <xf numFmtId="0" fontId="9" fillId="4" borderId="5" xfId="0" applyFont="1" applyFill="1" applyBorder="1"/>
    <xf numFmtId="0" fontId="9" fillId="0" borderId="0" xfId="0" applyFont="1"/>
    <xf numFmtId="10" fontId="9" fillId="4" borderId="5" xfId="0" applyNumberFormat="1" applyFont="1" applyFill="1" applyBorder="1"/>
    <xf numFmtId="0" fontId="10" fillId="7" borderId="5" xfId="0" applyFont="1" applyFill="1" applyBorder="1" applyAlignment="1">
      <alignment vertical="center" wrapText="1"/>
    </xf>
    <xf numFmtId="164" fontId="9" fillId="7" borderId="5" xfId="0" applyNumberFormat="1" applyFont="1" applyFill="1" applyBorder="1"/>
    <xf numFmtId="0" fontId="10" fillId="2" borderId="5" xfId="0" applyFont="1" applyFill="1" applyBorder="1" applyAlignment="1">
      <alignment horizontal="center" vertical="center" wrapText="1"/>
    </xf>
    <xf numFmtId="0" fontId="2" fillId="8" borderId="5" xfId="0" applyFont="1" applyFill="1" applyBorder="1" applyAlignment="1">
      <alignment vertical="center" wrapText="1"/>
    </xf>
    <xf numFmtId="164" fontId="1" fillId="0" borderId="5" xfId="0" applyNumberFormat="1" applyFont="1" applyBorder="1"/>
    <xf numFmtId="0" fontId="10" fillId="6" borderId="5" xfId="0" applyFont="1" applyFill="1" applyBorder="1" applyAlignment="1">
      <alignment vertical="center" wrapText="1"/>
    </xf>
    <xf numFmtId="0" fontId="1" fillId="3" borderId="5" xfId="0" applyFont="1" applyFill="1" applyBorder="1"/>
    <xf numFmtId="0" fontId="2" fillId="8" borderId="15" xfId="0" applyFont="1" applyFill="1" applyBorder="1" applyAlignment="1">
      <alignment vertical="center" wrapText="1"/>
    </xf>
    <xf numFmtId="164" fontId="0" fillId="0" borderId="0" xfId="0" applyNumberFormat="1"/>
    <xf numFmtId="164" fontId="1" fillId="0" borderId="0" xfId="0" applyNumberFormat="1" applyFont="1"/>
    <xf numFmtId="0" fontId="1" fillId="0" borderId="4" xfId="0" applyFont="1" applyBorder="1"/>
    <xf numFmtId="0" fontId="2" fillId="6" borderId="4" xfId="0" applyFont="1" applyFill="1" applyBorder="1" applyAlignment="1">
      <alignment vertical="center" wrapText="1"/>
    </xf>
    <xf numFmtId="0" fontId="12" fillId="6" borderId="7" xfId="0" applyFont="1" applyFill="1" applyBorder="1" applyAlignment="1">
      <alignment horizontal="right" vertical="center" wrapText="1"/>
    </xf>
    <xf numFmtId="164" fontId="1" fillId="0" borderId="8" xfId="0" applyNumberFormat="1" applyFont="1" applyBorder="1"/>
    <xf numFmtId="0" fontId="1" fillId="0" borderId="20" xfId="0" applyFont="1" applyBorder="1" applyAlignment="1">
      <alignment horizontal="right"/>
    </xf>
    <xf numFmtId="164" fontId="0" fillId="3" borderId="21" xfId="0" applyNumberFormat="1" applyFill="1" applyBorder="1"/>
    <xf numFmtId="0" fontId="1" fillId="0" borderId="7" xfId="0" applyFont="1" applyBorder="1" applyAlignment="1">
      <alignment horizontal="right"/>
    </xf>
    <xf numFmtId="164" fontId="0" fillId="3" borderId="9" xfId="0" applyNumberFormat="1" applyFill="1" applyBorder="1"/>
    <xf numFmtId="0" fontId="1" fillId="0" borderId="0" xfId="0" applyFont="1" applyAlignment="1">
      <alignment horizontal="right"/>
    </xf>
    <xf numFmtId="0" fontId="3" fillId="0" borderId="20" xfId="0" applyFont="1" applyBorder="1"/>
    <xf numFmtId="17" fontId="3" fillId="2" borderId="23" xfId="0" applyNumberFormat="1" applyFont="1" applyFill="1" applyBorder="1" applyAlignment="1">
      <alignment horizontal="center" vertical="center"/>
    </xf>
    <xf numFmtId="0" fontId="14" fillId="6" borderId="4" xfId="0" applyFont="1" applyFill="1" applyBorder="1" applyAlignment="1">
      <alignment vertical="center" wrapText="1"/>
    </xf>
    <xf numFmtId="164" fontId="3" fillId="0" borderId="5" xfId="0" applyNumberFormat="1" applyFont="1" applyBorder="1"/>
    <xf numFmtId="0" fontId="15" fillId="6" borderId="7" xfId="0" applyFont="1" applyFill="1" applyBorder="1" applyAlignment="1">
      <alignment horizontal="right" vertical="center" wrapText="1"/>
    </xf>
    <xf numFmtId="164" fontId="3" fillId="0" borderId="8" xfId="0" applyNumberFormat="1" applyFont="1" applyBorder="1"/>
    <xf numFmtId="0" fontId="16" fillId="0" borderId="0" xfId="0" applyFont="1"/>
    <xf numFmtId="164" fontId="16" fillId="0" borderId="0" xfId="0" applyNumberFormat="1" applyFont="1"/>
    <xf numFmtId="0" fontId="18" fillId="10" borderId="5" xfId="0" applyFont="1" applyFill="1" applyBorder="1" applyAlignment="1">
      <alignment horizontal="center" vertical="center"/>
    </xf>
    <xf numFmtId="17" fontId="18" fillId="10" borderId="5" xfId="0" applyNumberFormat="1" applyFont="1" applyFill="1" applyBorder="1" applyAlignment="1">
      <alignment horizontal="center" vertical="center"/>
    </xf>
    <xf numFmtId="0" fontId="0" fillId="11" borderId="5" xfId="0" applyFill="1" applyBorder="1" applyAlignment="1">
      <alignment horizontal="left"/>
    </xf>
    <xf numFmtId="165" fontId="20" fillId="11" borderId="5" xfId="0" applyNumberFormat="1" applyFont="1" applyFill="1" applyBorder="1" applyAlignment="1">
      <alignment horizontal="center"/>
    </xf>
    <xf numFmtId="166" fontId="21" fillId="11" borderId="5" xfId="0" applyNumberFormat="1" applyFont="1" applyFill="1" applyBorder="1" applyAlignment="1">
      <alignment horizontal="center"/>
    </xf>
    <xf numFmtId="166" fontId="21" fillId="0" borderId="5" xfId="0" applyNumberFormat="1" applyFont="1" applyBorder="1" applyAlignment="1">
      <alignment horizontal="center"/>
    </xf>
    <xf numFmtId="0" fontId="21" fillId="0" borderId="5" xfId="0" applyFont="1" applyBorder="1" applyAlignment="1">
      <alignment horizontal="center"/>
    </xf>
    <xf numFmtId="0" fontId="17" fillId="12" borderId="5" xfId="0" applyFont="1" applyFill="1" applyBorder="1" applyAlignment="1">
      <alignment horizontal="left"/>
    </xf>
    <xf numFmtId="166" fontId="17" fillId="12" borderId="5" xfId="0" applyNumberFormat="1" applyFont="1" applyFill="1" applyBorder="1" applyAlignment="1">
      <alignment horizontal="center"/>
    </xf>
    <xf numFmtId="166" fontId="22" fillId="13" borderId="5" xfId="0" applyNumberFormat="1" applyFont="1" applyFill="1" applyBorder="1" applyAlignment="1">
      <alignment horizontal="center"/>
    </xf>
    <xf numFmtId="0" fontId="19" fillId="12" borderId="5" xfId="0" applyFont="1" applyFill="1" applyBorder="1" applyAlignment="1">
      <alignment horizontal="center"/>
    </xf>
    <xf numFmtId="0" fontId="19" fillId="0" borderId="0" xfId="0" applyFont="1"/>
    <xf numFmtId="0" fontId="19" fillId="0" borderId="0" xfId="0" applyFont="1" applyAlignment="1">
      <alignment horizontal="center"/>
    </xf>
    <xf numFmtId="0" fontId="22" fillId="13" borderId="5" xfId="0" applyFont="1" applyFill="1" applyBorder="1" applyAlignment="1">
      <alignment horizontal="left"/>
    </xf>
    <xf numFmtId="166" fontId="22" fillId="13" borderId="5" xfId="0" applyNumberFormat="1" applyFont="1" applyFill="1" applyBorder="1" applyAlignment="1">
      <alignment horizontal="right"/>
    </xf>
    <xf numFmtId="0" fontId="20" fillId="0" borderId="0" xfId="0" applyFont="1" applyAlignment="1">
      <alignment horizontal="center"/>
    </xf>
    <xf numFmtId="0" fontId="22" fillId="14" borderId="28" xfId="0" applyFont="1" applyFill="1" applyBorder="1" applyAlignment="1">
      <alignment horizontal="center" vertical="center" wrapText="1"/>
    </xf>
    <xf numFmtId="17" fontId="22" fillId="14" borderId="31" xfId="0" applyNumberFormat="1" applyFont="1" applyFill="1" applyBorder="1" applyAlignment="1">
      <alignment vertical="center" wrapText="1"/>
    </xf>
    <xf numFmtId="0" fontId="23" fillId="14" borderId="28" xfId="0" applyFont="1" applyFill="1" applyBorder="1" applyAlignment="1">
      <alignment horizontal="center" vertical="center" wrapText="1"/>
    </xf>
    <xf numFmtId="0" fontId="21" fillId="10" borderId="5" xfId="0" applyFont="1" applyFill="1" applyBorder="1" applyAlignment="1">
      <alignment horizontal="center" vertical="center"/>
    </xf>
    <xf numFmtId="166" fontId="21" fillId="10" borderId="5" xfId="0" applyNumberFormat="1" applyFont="1" applyFill="1" applyBorder="1" applyAlignment="1">
      <alignment horizontal="center"/>
    </xf>
    <xf numFmtId="0" fontId="21" fillId="10" borderId="5" xfId="0" applyFont="1" applyFill="1" applyBorder="1" applyAlignment="1">
      <alignment horizontal="center"/>
    </xf>
    <xf numFmtId="0" fontId="21" fillId="10" borderId="32" xfId="0" applyFont="1" applyFill="1" applyBorder="1" applyAlignment="1">
      <alignment horizontal="center"/>
    </xf>
    <xf numFmtId="0" fontId="24" fillId="15" borderId="28" xfId="0" applyFont="1" applyFill="1" applyBorder="1" applyAlignment="1">
      <alignment horizontal="center" vertical="center"/>
    </xf>
    <xf numFmtId="0" fontId="21" fillId="15" borderId="5" xfId="0" applyFont="1" applyFill="1" applyBorder="1" applyAlignment="1">
      <alignment horizontal="center" vertical="center"/>
    </xf>
    <xf numFmtId="166" fontId="21" fillId="15" borderId="5" xfId="0" applyNumberFormat="1" applyFont="1" applyFill="1" applyBorder="1" applyAlignment="1">
      <alignment horizontal="center"/>
    </xf>
    <xf numFmtId="0" fontId="21" fillId="15" borderId="5" xfId="0" applyFont="1" applyFill="1" applyBorder="1" applyAlignment="1">
      <alignment horizontal="center"/>
    </xf>
    <xf numFmtId="0" fontId="24" fillId="15" borderId="33" xfId="0" applyFont="1" applyFill="1" applyBorder="1" applyAlignment="1">
      <alignment horizontal="center" vertical="center"/>
    </xf>
    <xf numFmtId="0" fontId="21" fillId="16" borderId="5" xfId="0" applyFont="1" applyFill="1" applyBorder="1" applyAlignment="1">
      <alignment horizontal="center" vertical="center"/>
    </xf>
    <xf numFmtId="166" fontId="21" fillId="16" borderId="5" xfId="0" applyNumberFormat="1" applyFont="1" applyFill="1" applyBorder="1" applyAlignment="1">
      <alignment horizontal="center"/>
    </xf>
    <xf numFmtId="0" fontId="21" fillId="16" borderId="5" xfId="0" applyFont="1" applyFill="1" applyBorder="1" applyAlignment="1">
      <alignment horizontal="center"/>
    </xf>
    <xf numFmtId="0" fontId="24" fillId="16" borderId="5" xfId="0" applyFont="1" applyFill="1" applyBorder="1" applyAlignment="1">
      <alignment horizontal="center" vertical="center" wrapText="1"/>
    </xf>
    <xf numFmtId="0" fontId="24" fillId="17" borderId="5" xfId="0" applyFont="1" applyFill="1" applyBorder="1" applyAlignment="1">
      <alignment horizontal="center" vertical="center"/>
    </xf>
    <xf numFmtId="0" fontId="21" fillId="17" borderId="5" xfId="0" applyFont="1" applyFill="1" applyBorder="1" applyAlignment="1">
      <alignment horizontal="center" vertical="center"/>
    </xf>
    <xf numFmtId="166" fontId="21" fillId="17" borderId="5" xfId="0" applyNumberFormat="1" applyFont="1" applyFill="1" applyBorder="1" applyAlignment="1">
      <alignment horizontal="center"/>
    </xf>
    <xf numFmtId="0" fontId="21" fillId="17" borderId="5" xfId="0" applyFont="1" applyFill="1" applyBorder="1" applyAlignment="1">
      <alignment horizontal="center"/>
    </xf>
    <xf numFmtId="0" fontId="24" fillId="18" borderId="5" xfId="0" applyFont="1" applyFill="1" applyBorder="1" applyAlignment="1">
      <alignment horizontal="center" vertical="center"/>
    </xf>
    <xf numFmtId="0" fontId="21" fillId="18" borderId="5" xfId="0" applyFont="1" applyFill="1" applyBorder="1" applyAlignment="1">
      <alignment horizontal="center" vertical="center"/>
    </xf>
    <xf numFmtId="166" fontId="21" fillId="18" borderId="5" xfId="0" applyNumberFormat="1" applyFont="1" applyFill="1" applyBorder="1" applyAlignment="1">
      <alignment horizontal="center"/>
    </xf>
    <xf numFmtId="0" fontId="21" fillId="18" borderId="5" xfId="0" applyFont="1" applyFill="1" applyBorder="1" applyAlignment="1">
      <alignment horizontal="center"/>
    </xf>
    <xf numFmtId="0" fontId="24" fillId="0" borderId="24" xfId="0" applyFont="1" applyBorder="1" applyAlignment="1">
      <alignment horizontal="center" vertical="center"/>
    </xf>
    <xf numFmtId="0" fontId="24" fillId="0" borderId="5" xfId="0" applyFont="1" applyBorder="1" applyAlignment="1">
      <alignment horizontal="center" vertical="center"/>
    </xf>
    <xf numFmtId="0" fontId="21" fillId="0" borderId="5" xfId="0" applyFont="1" applyBorder="1" applyAlignment="1">
      <alignment horizontal="center" wrapText="1"/>
    </xf>
    <xf numFmtId="0" fontId="24" fillId="0" borderId="27" xfId="0" applyFont="1" applyBorder="1" applyAlignment="1">
      <alignment horizontal="center" vertical="center"/>
    </xf>
    <xf numFmtId="0" fontId="24" fillId="0" borderId="26" xfId="0" applyFont="1" applyBorder="1" applyAlignment="1">
      <alignment horizontal="center" vertical="center"/>
    </xf>
    <xf numFmtId="166" fontId="25" fillId="14" borderId="5" xfId="0" applyNumberFormat="1" applyFont="1" applyFill="1" applyBorder="1" applyAlignment="1">
      <alignment horizontal="center" vertical="center"/>
    </xf>
    <xf numFmtId="166" fontId="25" fillId="13" borderId="5" xfId="0" applyNumberFormat="1" applyFont="1" applyFill="1" applyBorder="1" applyAlignment="1">
      <alignment horizontal="center" vertical="center"/>
    </xf>
    <xf numFmtId="0" fontId="26" fillId="14" borderId="5" xfId="0" applyFont="1" applyFill="1" applyBorder="1" applyAlignment="1">
      <alignment vertical="center"/>
    </xf>
    <xf numFmtId="0" fontId="20" fillId="0" borderId="0" xfId="0" applyFont="1"/>
    <xf numFmtId="0" fontId="27" fillId="9" borderId="5" xfId="0" applyFont="1" applyFill="1" applyBorder="1" applyAlignment="1">
      <alignment horizontal="center" vertical="center" wrapText="1"/>
    </xf>
    <xf numFmtId="166" fontId="27" fillId="9" borderId="5" xfId="0" applyNumberFormat="1" applyFont="1" applyFill="1" applyBorder="1" applyAlignment="1">
      <alignment horizontal="center" vertical="center" wrapText="1"/>
    </xf>
    <xf numFmtId="166" fontId="25" fillId="19" borderId="5" xfId="0" applyNumberFormat="1" applyFont="1" applyFill="1" applyBorder="1" applyAlignment="1">
      <alignment horizontal="center" vertical="center"/>
    </xf>
    <xf numFmtId="0" fontId="20" fillId="20" borderId="5" xfId="0" applyFont="1" applyFill="1" applyBorder="1"/>
    <xf numFmtId="0" fontId="20" fillId="20" borderId="5" xfId="0" applyFont="1" applyFill="1" applyBorder="1" applyAlignment="1">
      <alignment horizontal="center"/>
    </xf>
    <xf numFmtId="0" fontId="13" fillId="2" borderId="18" xfId="0" applyFont="1" applyFill="1" applyBorder="1" applyAlignment="1">
      <alignment horizontal="center"/>
    </xf>
    <xf numFmtId="0" fontId="5" fillId="0" borderId="22" xfId="0" applyFont="1" applyBorder="1"/>
    <xf numFmtId="0" fontId="22" fillId="14" borderId="12" xfId="0" applyFont="1" applyFill="1" applyBorder="1" applyAlignment="1">
      <alignment horizontal="center" vertical="center"/>
    </xf>
    <xf numFmtId="0" fontId="5" fillId="0" borderId="13" xfId="0" applyFont="1" applyBorder="1"/>
    <xf numFmtId="0" fontId="5" fillId="0" borderId="14" xfId="0" applyFont="1" applyBorder="1"/>
    <xf numFmtId="0" fontId="22" fillId="14" borderId="29" xfId="0" applyFont="1" applyFill="1" applyBorder="1" applyAlignment="1">
      <alignment horizontal="center" vertical="center" wrapText="1"/>
    </xf>
    <xf numFmtId="0" fontId="5" fillId="0" borderId="30" xfId="0" applyFont="1" applyBorder="1"/>
    <xf numFmtId="0" fontId="24" fillId="10" borderId="24" xfId="0" applyFont="1" applyFill="1" applyBorder="1" applyAlignment="1">
      <alignment horizontal="center" vertical="center"/>
    </xf>
    <xf numFmtId="0" fontId="5" fillId="0" borderId="27" xfId="0" applyFont="1" applyBorder="1"/>
    <xf numFmtId="0" fontId="5" fillId="0" borderId="26" xfId="0" applyFont="1" applyBorder="1"/>
    <xf numFmtId="0" fontId="24" fillId="10" borderId="24" xfId="0" applyFont="1" applyFill="1" applyBorder="1" applyAlignment="1">
      <alignment horizontal="center" vertical="center" wrapText="1"/>
    </xf>
    <xf numFmtId="0" fontId="24" fillId="15" borderId="24" xfId="0" applyFont="1" applyFill="1" applyBorder="1" applyAlignment="1">
      <alignment horizontal="center" vertical="center"/>
    </xf>
    <xf numFmtId="0" fontId="24" fillId="15" borderId="24" xfId="0" applyFont="1" applyFill="1" applyBorder="1" applyAlignment="1">
      <alignment horizontal="center" vertical="center" wrapText="1"/>
    </xf>
    <xf numFmtId="0" fontId="24" fillId="18" borderId="24" xfId="0" applyFont="1" applyFill="1" applyBorder="1" applyAlignment="1">
      <alignment horizontal="center" vertical="center" wrapText="1"/>
    </xf>
    <xf numFmtId="0" fontId="24" fillId="0" borderId="24" xfId="0" applyFont="1" applyBorder="1" applyAlignment="1">
      <alignment horizontal="center" vertical="center"/>
    </xf>
    <xf numFmtId="0" fontId="24" fillId="16" borderId="24" xfId="0" applyFont="1" applyFill="1" applyBorder="1" applyAlignment="1">
      <alignment horizontal="center" vertical="center" wrapText="1"/>
    </xf>
    <xf numFmtId="0" fontId="24" fillId="18" borderId="24" xfId="0" applyFont="1" applyFill="1" applyBorder="1" applyAlignment="1">
      <alignment horizontal="center" vertical="center"/>
    </xf>
    <xf numFmtId="0" fontId="24" fillId="0" borderId="24" xfId="0" applyFont="1" applyBorder="1" applyAlignment="1">
      <alignment horizontal="center" vertical="center" wrapText="1"/>
    </xf>
    <xf numFmtId="0" fontId="24" fillId="16" borderId="24" xfId="0" applyFont="1" applyFill="1" applyBorder="1" applyAlignment="1">
      <alignment horizontal="center" vertical="center"/>
    </xf>
    <xf numFmtId="0" fontId="24" fillId="17" borderId="24" xfId="0" applyFont="1" applyFill="1" applyBorder="1" applyAlignment="1">
      <alignment horizontal="center" vertical="center" wrapText="1"/>
    </xf>
    <xf numFmtId="0" fontId="9" fillId="2" borderId="18" xfId="0" applyFont="1" applyFill="1" applyBorder="1" applyAlignment="1">
      <alignment horizontal="center"/>
    </xf>
    <xf numFmtId="0" fontId="5" fillId="0" borderId="19" xfId="0" applyFont="1" applyBorder="1"/>
    <xf numFmtId="0" fontId="4" fillId="4" borderId="10" xfId="0" applyFont="1" applyFill="1" applyBorder="1" applyAlignment="1">
      <alignment horizontal="center"/>
    </xf>
    <xf numFmtId="0" fontId="5" fillId="0" borderId="11" xfId="0" applyFont="1" applyBorder="1"/>
    <xf numFmtId="0" fontId="6" fillId="0" borderId="12" xfId="0" applyFont="1" applyBorder="1" applyAlignment="1">
      <alignment horizontal="center"/>
    </xf>
    <xf numFmtId="0" fontId="11" fillId="0" borderId="12" xfId="0" applyFont="1" applyBorder="1" applyAlignment="1">
      <alignment horizontal="center"/>
    </xf>
    <xf numFmtId="0" fontId="17" fillId="9" borderId="10" xfId="0" applyFont="1" applyFill="1" applyBorder="1" applyAlignment="1">
      <alignment horizontal="center" vertical="center" wrapText="1"/>
    </xf>
    <xf numFmtId="0" fontId="18" fillId="10" borderId="24" xfId="0" applyFont="1" applyFill="1" applyBorder="1" applyAlignment="1">
      <alignment horizontal="center" vertical="center"/>
    </xf>
    <xf numFmtId="0" fontId="11" fillId="0" borderId="16" xfId="0" applyFont="1" applyBorder="1" applyAlignment="1">
      <alignment horizontal="center"/>
    </xf>
    <xf numFmtId="0" fontId="11" fillId="0" borderId="17" xfId="0" applyFont="1" applyBorder="1" applyAlignment="1">
      <alignment horizontal="center"/>
    </xf>
    <xf numFmtId="0" fontId="9" fillId="2" borderId="34" xfId="0" applyFont="1" applyFill="1" applyBorder="1" applyAlignment="1">
      <alignment horizontal="center"/>
    </xf>
    <xf numFmtId="0" fontId="9" fillId="2" borderId="17" xfId="0" applyFont="1" applyFill="1" applyBorder="1" applyAlignment="1">
      <alignment horizontal="center"/>
    </xf>
    <xf numFmtId="0" fontId="7" fillId="5" borderId="26" xfId="0" applyFont="1" applyFill="1" applyBorder="1" applyAlignment="1">
      <alignment horizontal="center" vertical="center" wrapText="1"/>
    </xf>
    <xf numFmtId="17" fontId="1" fillId="2" borderId="26" xfId="0" applyNumberFormat="1" applyFont="1" applyFill="1" applyBorder="1" applyAlignment="1">
      <alignment horizontal="center" vertical="center"/>
    </xf>
    <xf numFmtId="0" fontId="1" fillId="0" borderId="35" xfId="0" applyFont="1" applyBorder="1" applyAlignment="1">
      <alignment horizontal="center"/>
    </xf>
    <xf numFmtId="0" fontId="5" fillId="0" borderId="35" xfId="0" applyFont="1" applyBorder="1"/>
    <xf numFmtId="0" fontId="1" fillId="0" borderId="32" xfId="0" applyFont="1" applyBorder="1"/>
    <xf numFmtId="0" fontId="1" fillId="21" borderId="36" xfId="0" applyFont="1" applyFill="1" applyBorder="1" applyAlignment="1">
      <alignment horizontal="center" vertical="center"/>
    </xf>
    <xf numFmtId="0" fontId="0" fillId="0" borderId="32" xfId="0" applyBorder="1"/>
    <xf numFmtId="10" fontId="9" fillId="4" borderId="14" xfId="0" applyNumberFormat="1" applyFont="1" applyFill="1" applyBorder="1"/>
    <xf numFmtId="0" fontId="2" fillId="6" borderId="28" xfId="0" applyFont="1" applyFill="1" applyBorder="1" applyAlignment="1">
      <alignment vertical="center" wrapText="1"/>
    </xf>
    <xf numFmtId="0" fontId="9" fillId="0" borderId="35" xfId="0" applyFont="1" applyBorder="1"/>
    <xf numFmtId="0" fontId="19" fillId="10" borderId="28" xfId="0" applyFont="1" applyFill="1" applyBorder="1" applyAlignment="1">
      <alignment horizontal="center" vertical="center" wrapText="1"/>
    </xf>
    <xf numFmtId="0" fontId="19" fillId="10" borderId="33" xfId="0" applyFont="1" applyFill="1" applyBorder="1" applyAlignment="1">
      <alignment horizontal="center" vertical="center" wrapText="1"/>
    </xf>
    <xf numFmtId="0" fontId="19" fillId="10" borderId="26" xfId="0" applyFont="1" applyFill="1" applyBorder="1" applyAlignment="1">
      <alignment horizontal="center" vertical="center" wrapText="1"/>
    </xf>
    <xf numFmtId="0" fontId="17" fillId="10" borderId="28" xfId="0" applyFont="1" applyFill="1" applyBorder="1" applyAlignment="1">
      <alignment horizontal="center" vertical="center" wrapText="1"/>
    </xf>
    <xf numFmtId="0" fontId="17" fillId="10" borderId="33" xfId="0" applyFont="1" applyFill="1" applyBorder="1" applyAlignment="1">
      <alignment horizontal="center" vertical="center" wrapText="1"/>
    </xf>
    <xf numFmtId="0" fontId="17" fillId="10" borderId="26" xfId="0" applyFont="1" applyFill="1" applyBorder="1" applyAlignment="1">
      <alignment horizontal="center" vertical="center" wrapText="1"/>
    </xf>
    <xf numFmtId="166" fontId="18" fillId="10" borderId="29" xfId="0" applyNumberFormat="1" applyFont="1" applyFill="1" applyBorder="1" applyAlignment="1">
      <alignment horizontal="center" vertical="center"/>
    </xf>
    <xf numFmtId="166" fontId="18" fillId="10" borderId="25" xfId="0" applyNumberFormat="1" applyFont="1" applyFill="1" applyBorder="1" applyAlignment="1">
      <alignment horizontal="center" vertical="center"/>
    </xf>
    <xf numFmtId="166" fontId="18" fillId="10" borderId="30" xfId="0" applyNumberFormat="1" applyFont="1" applyFill="1" applyBorder="1" applyAlignment="1">
      <alignment horizontal="center" vertical="center"/>
    </xf>
    <xf numFmtId="166" fontId="18" fillId="10" borderId="16" xfId="0" applyNumberFormat="1" applyFont="1" applyFill="1" applyBorder="1" applyAlignment="1">
      <alignment horizontal="center" vertical="center"/>
    </xf>
    <xf numFmtId="166" fontId="18" fillId="10" borderId="17" xfId="0" applyNumberFormat="1" applyFont="1" applyFill="1" applyBorder="1" applyAlignment="1">
      <alignment horizontal="center" vertical="center"/>
    </xf>
    <xf numFmtId="166" fontId="18" fillId="10" borderId="37" xfId="0" applyNumberFormat="1" applyFont="1" applyFill="1" applyBorder="1" applyAlignment="1">
      <alignment horizontal="center" vertical="center"/>
    </xf>
    <xf numFmtId="0" fontId="17" fillId="9" borderId="31" xfId="0" applyFont="1" applyFill="1" applyBorder="1" applyAlignment="1">
      <alignment horizontal="center" vertical="center" wrapText="1"/>
    </xf>
    <xf numFmtId="0" fontId="17" fillId="9" borderId="13" xfId="0" applyFont="1" applyFill="1" applyBorder="1" applyAlignment="1">
      <alignment horizontal="center" vertical="center" wrapText="1"/>
    </xf>
    <xf numFmtId="0" fontId="17" fillId="9"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25</xdr:row>
      <xdr:rowOff>19050</xdr:rowOff>
    </xdr:from>
    <xdr:ext cx="7772400" cy="19812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290232</xdr:colOff>
      <xdr:row>19</xdr:row>
      <xdr:rowOff>226359</xdr:rowOff>
    </xdr:from>
    <xdr:ext cx="3209925" cy="21431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5263532" y="4836459"/>
          <a:ext cx="3209925" cy="21431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workbookViewId="0">
      <selection activeCell="A2" sqref="A2:A15"/>
    </sheetView>
  </sheetViews>
  <sheetFormatPr defaultColWidth="14.42578125" defaultRowHeight="15" customHeight="1"/>
  <cols>
    <col min="1" max="1" width="26.42578125" customWidth="1"/>
    <col min="2" max="2" width="16.28515625" customWidth="1"/>
    <col min="3" max="3" width="20.140625" customWidth="1"/>
    <col min="4" max="4" width="14" customWidth="1"/>
    <col min="6" max="6" width="12.42578125" customWidth="1"/>
    <col min="7" max="9" width="10.85546875" customWidth="1"/>
    <col min="10" max="26" width="10.7109375" customWidth="1"/>
  </cols>
  <sheetData>
    <row r="1" spans="1:26">
      <c r="A1" s="1"/>
      <c r="B1" s="2" t="s">
        <v>0</v>
      </c>
      <c r="C1" s="2" t="s">
        <v>1</v>
      </c>
      <c r="D1" s="3" t="s">
        <v>2</v>
      </c>
      <c r="E1" s="3" t="s">
        <v>3</v>
      </c>
      <c r="F1" s="4" t="s">
        <v>4</v>
      </c>
      <c r="G1" s="5"/>
      <c r="H1" s="5" t="s">
        <v>5</v>
      </c>
      <c r="I1" s="5" t="s">
        <v>6</v>
      </c>
      <c r="J1" s="5"/>
      <c r="K1" s="5"/>
      <c r="L1" s="5"/>
      <c r="M1" s="5"/>
      <c r="N1" s="5"/>
      <c r="O1" s="5"/>
      <c r="P1" s="5"/>
      <c r="Q1" s="5"/>
      <c r="R1" s="5"/>
      <c r="S1" s="5"/>
      <c r="T1" s="5"/>
      <c r="U1" s="5"/>
      <c r="V1" s="5"/>
      <c r="W1" s="5"/>
      <c r="X1" s="5"/>
      <c r="Y1" s="5"/>
      <c r="Z1" s="5"/>
    </row>
    <row r="2" spans="1:26">
      <c r="A2" s="6" t="s">
        <v>110</v>
      </c>
      <c r="B2" s="7">
        <v>1500</v>
      </c>
      <c r="C2" s="8">
        <v>0</v>
      </c>
      <c r="D2" s="9">
        <f t="shared" ref="D2:D15" si="0">C2*36.88%</f>
        <v>0</v>
      </c>
      <c r="E2" s="10">
        <v>160</v>
      </c>
      <c r="F2" s="11">
        <f>(B2+C2)/E2</f>
        <v>9.375</v>
      </c>
      <c r="G2" s="5"/>
      <c r="H2" s="5" t="s">
        <v>7</v>
      </c>
      <c r="I2" s="5" t="s">
        <v>8</v>
      </c>
      <c r="J2" s="5"/>
      <c r="K2" s="5"/>
      <c r="L2" s="5"/>
      <c r="M2" s="5"/>
      <c r="N2" s="5"/>
      <c r="O2" s="5"/>
      <c r="P2" s="5"/>
      <c r="Q2" s="5"/>
      <c r="R2" s="5"/>
      <c r="S2" s="5"/>
      <c r="T2" s="5"/>
      <c r="U2" s="5"/>
      <c r="V2" s="5"/>
      <c r="W2" s="5"/>
      <c r="X2" s="5"/>
      <c r="Y2" s="5"/>
      <c r="Z2" s="5"/>
    </row>
    <row r="3" spans="1:26">
      <c r="A3" s="6" t="s">
        <v>111</v>
      </c>
      <c r="B3" s="7">
        <v>1500</v>
      </c>
      <c r="C3" s="8">
        <v>1</v>
      </c>
      <c r="D3" s="9">
        <f t="shared" ref="D3:D10" si="1">C3*36.88%</f>
        <v>0.36880000000000002</v>
      </c>
      <c r="E3" s="10">
        <v>161</v>
      </c>
      <c r="F3" s="11">
        <f t="shared" ref="F3:F15" si="2">(B3+C3)/E3</f>
        <v>9.3229813664596275</v>
      </c>
      <c r="G3" s="5"/>
      <c r="H3" s="5"/>
      <c r="I3" s="5"/>
      <c r="J3" s="5"/>
      <c r="K3" s="5"/>
      <c r="L3" s="5"/>
      <c r="M3" s="5"/>
      <c r="N3" s="5"/>
      <c r="O3" s="5"/>
      <c r="P3" s="5"/>
      <c r="Q3" s="5"/>
      <c r="R3" s="5"/>
      <c r="S3" s="5"/>
      <c r="T3" s="5"/>
      <c r="U3" s="5"/>
      <c r="V3" s="5"/>
      <c r="W3" s="5"/>
      <c r="X3" s="5"/>
      <c r="Y3" s="5"/>
      <c r="Z3" s="5"/>
    </row>
    <row r="4" spans="1:26">
      <c r="A4" s="6" t="s">
        <v>112</v>
      </c>
      <c r="B4" s="7">
        <v>1500</v>
      </c>
      <c r="C4" s="8">
        <v>2</v>
      </c>
      <c r="D4" s="9">
        <f t="shared" si="1"/>
        <v>0.73760000000000003</v>
      </c>
      <c r="E4" s="10">
        <v>162</v>
      </c>
      <c r="F4" s="11">
        <f>(B4+C4)/E4</f>
        <v>9.2716049382716044</v>
      </c>
      <c r="G4" s="5"/>
      <c r="H4" s="5"/>
      <c r="I4" s="5"/>
      <c r="J4" s="5"/>
      <c r="K4" s="5"/>
      <c r="L4" s="5"/>
      <c r="M4" s="5"/>
      <c r="N4" s="5"/>
      <c r="O4" s="5"/>
      <c r="P4" s="5"/>
      <c r="Q4" s="5"/>
      <c r="R4" s="5"/>
      <c r="S4" s="5"/>
      <c r="T4" s="5"/>
      <c r="U4" s="5"/>
      <c r="V4" s="5"/>
      <c r="W4" s="5"/>
      <c r="X4" s="5"/>
      <c r="Y4" s="5"/>
      <c r="Z4" s="5"/>
    </row>
    <row r="5" spans="1:26">
      <c r="A5" s="6" t="s">
        <v>113</v>
      </c>
      <c r="B5" s="7">
        <v>1500</v>
      </c>
      <c r="C5" s="8">
        <v>3</v>
      </c>
      <c r="D5" s="9">
        <f t="shared" si="1"/>
        <v>1.1064000000000001</v>
      </c>
      <c r="E5" s="10">
        <v>163</v>
      </c>
      <c r="F5" s="11">
        <f t="shared" si="2"/>
        <v>9.220858895705522</v>
      </c>
      <c r="G5" s="5"/>
      <c r="H5" s="5"/>
      <c r="I5" s="5"/>
      <c r="J5" s="5"/>
      <c r="K5" s="5"/>
      <c r="L5" s="5"/>
      <c r="M5" s="5"/>
      <c r="N5" s="5"/>
      <c r="O5" s="5"/>
      <c r="P5" s="5"/>
      <c r="Q5" s="5"/>
      <c r="R5" s="5"/>
      <c r="S5" s="5"/>
      <c r="T5" s="5"/>
      <c r="U5" s="5"/>
      <c r="V5" s="5"/>
      <c r="W5" s="5"/>
      <c r="X5" s="5"/>
      <c r="Y5" s="5"/>
      <c r="Z5" s="5"/>
    </row>
    <row r="6" spans="1:26">
      <c r="A6" s="6" t="s">
        <v>114</v>
      </c>
      <c r="B6" s="7">
        <v>1500</v>
      </c>
      <c r="C6" s="8">
        <v>4</v>
      </c>
      <c r="D6" s="9">
        <f t="shared" si="1"/>
        <v>1.4752000000000001</v>
      </c>
      <c r="E6" s="10">
        <v>164</v>
      </c>
      <c r="F6" s="11">
        <f t="shared" si="2"/>
        <v>9.1707317073170724</v>
      </c>
      <c r="G6" s="5"/>
      <c r="H6" s="5"/>
      <c r="I6" s="5"/>
      <c r="J6" s="5"/>
      <c r="K6" s="5"/>
      <c r="L6" s="5"/>
      <c r="M6" s="5"/>
      <c r="N6" s="5"/>
      <c r="O6" s="5"/>
      <c r="P6" s="5"/>
      <c r="Q6" s="5"/>
      <c r="R6" s="5"/>
      <c r="S6" s="5"/>
      <c r="T6" s="5"/>
      <c r="U6" s="5"/>
      <c r="V6" s="5"/>
      <c r="W6" s="5"/>
      <c r="X6" s="5"/>
      <c r="Y6" s="5"/>
      <c r="Z6" s="5"/>
    </row>
    <row r="7" spans="1:26">
      <c r="A7" s="6" t="s">
        <v>115</v>
      </c>
      <c r="B7" s="7">
        <v>1500</v>
      </c>
      <c r="C7" s="8">
        <v>5</v>
      </c>
      <c r="D7" s="9">
        <f t="shared" si="1"/>
        <v>1.8440000000000001</v>
      </c>
      <c r="E7" s="10">
        <v>165</v>
      </c>
      <c r="F7" s="11">
        <f t="shared" si="2"/>
        <v>9.1212121212121211</v>
      </c>
      <c r="G7" s="5"/>
      <c r="H7" s="5"/>
      <c r="I7" s="5"/>
      <c r="J7" s="5"/>
      <c r="K7" s="5"/>
      <c r="L7" s="5"/>
      <c r="M7" s="5"/>
      <c r="N7" s="5"/>
      <c r="O7" s="5"/>
      <c r="P7" s="5"/>
      <c r="Q7" s="5"/>
      <c r="R7" s="5"/>
      <c r="S7" s="5"/>
      <c r="T7" s="5"/>
      <c r="U7" s="5"/>
      <c r="V7" s="5"/>
      <c r="W7" s="5"/>
      <c r="X7" s="5"/>
      <c r="Y7" s="5"/>
      <c r="Z7" s="5"/>
    </row>
    <row r="8" spans="1:26">
      <c r="A8" s="6" t="s">
        <v>116</v>
      </c>
      <c r="B8" s="7">
        <v>1500</v>
      </c>
      <c r="C8" s="8">
        <v>6</v>
      </c>
      <c r="D8" s="9">
        <f t="shared" si="1"/>
        <v>2.2128000000000001</v>
      </c>
      <c r="E8" s="10">
        <v>166</v>
      </c>
      <c r="F8" s="11">
        <f t="shared" si="2"/>
        <v>9.0722891566265051</v>
      </c>
      <c r="G8" s="5"/>
      <c r="H8" s="5"/>
      <c r="I8" s="5"/>
      <c r="J8" s="5"/>
      <c r="K8" s="5"/>
      <c r="L8" s="5"/>
      <c r="M8" s="5"/>
      <c r="N8" s="5"/>
      <c r="O8" s="5"/>
      <c r="P8" s="5"/>
      <c r="Q8" s="5"/>
      <c r="R8" s="5"/>
      <c r="S8" s="5"/>
      <c r="T8" s="5"/>
      <c r="U8" s="5"/>
      <c r="V8" s="5"/>
      <c r="W8" s="5"/>
      <c r="X8" s="5"/>
      <c r="Y8" s="5"/>
      <c r="Z8" s="5"/>
    </row>
    <row r="9" spans="1:26">
      <c r="A9" s="6" t="s">
        <v>117</v>
      </c>
      <c r="B9" s="7">
        <v>1500</v>
      </c>
      <c r="C9" s="8">
        <v>7</v>
      </c>
      <c r="D9" s="9">
        <f t="shared" si="1"/>
        <v>2.5815999999999999</v>
      </c>
      <c r="E9" s="10">
        <v>167</v>
      </c>
      <c r="F9" s="11">
        <f t="shared" si="2"/>
        <v>9.023952095808383</v>
      </c>
      <c r="G9" s="5"/>
      <c r="H9" s="5"/>
      <c r="I9" s="5"/>
      <c r="J9" s="5"/>
      <c r="K9" s="5"/>
      <c r="L9" s="5"/>
      <c r="M9" s="5"/>
      <c r="N9" s="5"/>
      <c r="O9" s="5"/>
      <c r="P9" s="5"/>
      <c r="Q9" s="5"/>
      <c r="R9" s="5"/>
      <c r="S9" s="5"/>
      <c r="T9" s="5"/>
      <c r="U9" s="5"/>
      <c r="V9" s="5"/>
      <c r="W9" s="5"/>
      <c r="X9" s="5"/>
      <c r="Y9" s="5"/>
      <c r="Z9" s="5"/>
    </row>
    <row r="10" spans="1:26">
      <c r="A10" s="6" t="s">
        <v>118</v>
      </c>
      <c r="B10" s="7">
        <v>1500</v>
      </c>
      <c r="C10" s="8">
        <v>8</v>
      </c>
      <c r="D10" s="9">
        <f t="shared" si="1"/>
        <v>2.9504000000000001</v>
      </c>
      <c r="E10" s="10">
        <v>168</v>
      </c>
      <c r="F10" s="11">
        <f t="shared" si="2"/>
        <v>8.9761904761904763</v>
      </c>
      <c r="G10" s="5"/>
      <c r="H10" s="5"/>
      <c r="I10" s="5"/>
      <c r="J10" s="5"/>
      <c r="K10" s="5"/>
      <c r="L10" s="5"/>
      <c r="M10" s="5"/>
      <c r="N10" s="5"/>
      <c r="O10" s="5"/>
      <c r="P10" s="5"/>
      <c r="Q10" s="5"/>
      <c r="R10" s="5"/>
      <c r="S10" s="5"/>
      <c r="T10" s="5"/>
      <c r="U10" s="5"/>
      <c r="V10" s="5"/>
      <c r="W10" s="5"/>
      <c r="X10" s="5"/>
      <c r="Y10" s="5"/>
      <c r="Z10" s="5"/>
    </row>
    <row r="11" spans="1:26">
      <c r="A11" s="6" t="s">
        <v>119</v>
      </c>
      <c r="B11" s="7">
        <v>900</v>
      </c>
      <c r="C11" s="8">
        <v>0</v>
      </c>
      <c r="D11" s="9">
        <f t="shared" si="0"/>
        <v>0</v>
      </c>
      <c r="E11" s="10">
        <v>160</v>
      </c>
      <c r="F11" s="11">
        <f t="shared" si="2"/>
        <v>5.625</v>
      </c>
      <c r="G11" s="5"/>
      <c r="H11" s="5"/>
      <c r="I11" s="5"/>
      <c r="J11" s="5"/>
      <c r="K11" s="5"/>
      <c r="L11" s="5"/>
      <c r="M11" s="5"/>
      <c r="N11" s="5"/>
      <c r="O11" s="5"/>
      <c r="P11" s="5"/>
      <c r="Q11" s="5"/>
      <c r="R11" s="5"/>
      <c r="S11" s="5"/>
      <c r="T11" s="5"/>
      <c r="U11" s="5"/>
      <c r="V11" s="5"/>
      <c r="W11" s="5"/>
      <c r="X11" s="5"/>
      <c r="Y11" s="5"/>
      <c r="Z11" s="5"/>
    </row>
    <row r="12" spans="1:26">
      <c r="A12" s="6" t="s">
        <v>120</v>
      </c>
      <c r="B12" s="7">
        <v>600</v>
      </c>
      <c r="C12" s="8">
        <v>0</v>
      </c>
      <c r="D12" s="9">
        <f t="shared" si="0"/>
        <v>0</v>
      </c>
      <c r="E12" s="10">
        <v>160</v>
      </c>
      <c r="F12" s="11">
        <f t="shared" si="2"/>
        <v>3.75</v>
      </c>
      <c r="G12" s="5"/>
      <c r="H12" s="5"/>
      <c r="I12" s="5"/>
      <c r="J12" s="5"/>
      <c r="K12" s="5"/>
      <c r="L12" s="5"/>
      <c r="M12" s="5"/>
      <c r="N12" s="5"/>
      <c r="O12" s="5"/>
      <c r="P12" s="5"/>
      <c r="Q12" s="5"/>
      <c r="R12" s="5"/>
      <c r="S12" s="5"/>
      <c r="T12" s="5"/>
      <c r="U12" s="5"/>
      <c r="V12" s="5"/>
      <c r="W12" s="5"/>
      <c r="X12" s="5"/>
      <c r="Y12" s="5"/>
      <c r="Z12" s="5"/>
    </row>
    <row r="13" spans="1:26">
      <c r="A13" s="6" t="s">
        <v>121</v>
      </c>
      <c r="B13" s="7">
        <v>500</v>
      </c>
      <c r="C13" s="8">
        <v>0</v>
      </c>
      <c r="D13" s="9">
        <f t="shared" si="0"/>
        <v>0</v>
      </c>
      <c r="E13" s="10">
        <v>160</v>
      </c>
      <c r="F13" s="11">
        <f t="shared" si="2"/>
        <v>3.125</v>
      </c>
      <c r="G13" s="5"/>
      <c r="H13" s="5"/>
      <c r="I13" s="5"/>
      <c r="J13" s="5"/>
      <c r="K13" s="5"/>
      <c r="L13" s="5"/>
      <c r="M13" s="5"/>
      <c r="N13" s="5"/>
      <c r="O13" s="5"/>
      <c r="P13" s="5"/>
      <c r="Q13" s="5"/>
      <c r="R13" s="5"/>
      <c r="S13" s="5"/>
      <c r="T13" s="5"/>
      <c r="U13" s="5"/>
      <c r="V13" s="5"/>
      <c r="W13" s="5"/>
      <c r="X13" s="5"/>
      <c r="Y13" s="5"/>
      <c r="Z13" s="5"/>
    </row>
    <row r="14" spans="1:26">
      <c r="A14" s="6" t="s">
        <v>122</v>
      </c>
      <c r="B14" s="7">
        <v>500</v>
      </c>
      <c r="C14" s="8">
        <v>0</v>
      </c>
      <c r="D14" s="9">
        <f t="shared" si="0"/>
        <v>0</v>
      </c>
      <c r="E14" s="10">
        <v>160</v>
      </c>
      <c r="F14" s="11">
        <f t="shared" si="2"/>
        <v>3.125</v>
      </c>
      <c r="G14" s="5"/>
      <c r="H14" s="5"/>
      <c r="I14" s="5"/>
      <c r="J14" s="5"/>
      <c r="K14" s="5"/>
      <c r="L14" s="5"/>
      <c r="M14" s="5"/>
      <c r="N14" s="5"/>
      <c r="O14" s="5"/>
      <c r="P14" s="5"/>
      <c r="Q14" s="5"/>
      <c r="R14" s="5"/>
      <c r="S14" s="5"/>
      <c r="T14" s="5"/>
      <c r="U14" s="5"/>
      <c r="V14" s="5"/>
      <c r="W14" s="5"/>
      <c r="X14" s="5"/>
      <c r="Y14" s="5"/>
      <c r="Z14" s="5"/>
    </row>
    <row r="15" spans="1:26">
      <c r="A15" s="6" t="s">
        <v>123</v>
      </c>
      <c r="B15" s="7">
        <v>500</v>
      </c>
      <c r="C15" s="8">
        <v>0</v>
      </c>
      <c r="D15" s="9">
        <f t="shared" si="0"/>
        <v>0</v>
      </c>
      <c r="E15" s="10">
        <v>160</v>
      </c>
      <c r="F15" s="11">
        <f t="shared" si="2"/>
        <v>3.125</v>
      </c>
      <c r="G15" s="5"/>
      <c r="H15" s="5"/>
      <c r="I15" s="5"/>
      <c r="J15" s="5"/>
      <c r="K15" s="5"/>
      <c r="L15" s="5"/>
      <c r="M15" s="5"/>
      <c r="N15" s="5"/>
      <c r="O15" s="5"/>
      <c r="P15" s="5"/>
      <c r="Q15" s="5"/>
      <c r="R15" s="5"/>
      <c r="S15" s="5"/>
      <c r="T15" s="5"/>
      <c r="U15" s="5"/>
      <c r="V15" s="5"/>
      <c r="W15" s="5"/>
      <c r="X15" s="5"/>
      <c r="Y15" s="5"/>
      <c r="Z15" s="5"/>
    </row>
    <row r="16" spans="1:26">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t="s">
        <v>9</v>
      </c>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t="s">
        <v>10</v>
      </c>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t="s">
        <v>11</v>
      </c>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c r="A22" s="5" t="s">
        <v>12</v>
      </c>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 customHeight="1">
      <c r="A998" s="5"/>
      <c r="B998" s="5"/>
      <c r="C998" s="5"/>
      <c r="D998" s="5"/>
      <c r="E998" s="5"/>
      <c r="F998" s="5"/>
    </row>
    <row r="999" spans="1:26" ht="15" customHeight="1">
      <c r="A999" s="5"/>
      <c r="B999" s="5"/>
      <c r="C999" s="5"/>
      <c r="D999" s="5"/>
      <c r="E999" s="5"/>
      <c r="F999" s="5"/>
    </row>
    <row r="1000" spans="1:26" ht="15" customHeight="1">
      <c r="A1000" s="5"/>
      <c r="B1000" s="5"/>
      <c r="C1000" s="5"/>
      <c r="D1000" s="5"/>
      <c r="E1000" s="5"/>
      <c r="F1000" s="5"/>
    </row>
    <row r="1001" spans="1:26" ht="15" customHeight="1">
      <c r="A1001" s="5"/>
      <c r="B1001" s="5"/>
      <c r="C1001" s="5"/>
      <c r="D1001" s="5"/>
      <c r="E1001" s="5"/>
      <c r="F1001" s="5"/>
    </row>
    <row r="1002" spans="1:26" ht="15" customHeight="1">
      <c r="A1002" s="5"/>
      <c r="B1002" s="5"/>
      <c r="C1002" s="5"/>
      <c r="D1002" s="5"/>
      <c r="E1002" s="5"/>
      <c r="F1002" s="5"/>
    </row>
    <row r="1003" spans="1:26" ht="15" customHeight="1">
      <c r="A1003" s="5"/>
      <c r="B1003" s="5"/>
      <c r="C1003" s="5"/>
      <c r="D1003" s="5"/>
      <c r="E1003" s="5"/>
      <c r="F1003" s="5"/>
    </row>
    <row r="1004" spans="1:26" ht="15" customHeight="1">
      <c r="A1004" s="5"/>
      <c r="B1004" s="5"/>
      <c r="C1004" s="5"/>
      <c r="D1004" s="5"/>
      <c r="E1004" s="5"/>
      <c r="F1004" s="5"/>
    </row>
    <row r="1005" spans="1:26" ht="15" customHeight="1">
      <c r="A1005" s="5"/>
      <c r="B1005" s="5"/>
      <c r="C1005" s="5"/>
      <c r="D1005" s="5"/>
      <c r="E1005" s="5"/>
      <c r="F1005" s="5"/>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L1031"/>
  <sheetViews>
    <sheetView topLeftCell="A88" zoomScaleNormal="100" workbookViewId="0">
      <selection activeCell="U29" sqref="U29"/>
    </sheetView>
  </sheetViews>
  <sheetFormatPr defaultColWidth="14.42578125" defaultRowHeight="15" customHeight="1"/>
  <cols>
    <col min="1" max="1" width="24.42578125" customWidth="1"/>
    <col min="2" max="2" width="30.140625" customWidth="1"/>
    <col min="3" max="6" width="14.7109375" customWidth="1"/>
    <col min="7" max="7" width="13.7109375" customWidth="1"/>
    <col min="8" max="8" width="12.42578125" customWidth="1"/>
    <col min="9" max="9" width="11.28515625" customWidth="1"/>
    <col min="10" max="10" width="11.5703125" customWidth="1"/>
    <col min="11" max="11" width="13.42578125" customWidth="1"/>
    <col min="12" max="12" width="13" customWidth="1"/>
    <col min="13" max="13" width="12.7109375" customWidth="1"/>
    <col min="14" max="14" width="12.140625" customWidth="1"/>
    <col min="15" max="15" width="10.85546875" customWidth="1"/>
    <col min="16" max="16" width="26.140625" customWidth="1"/>
    <col min="17" max="17" width="10.85546875" customWidth="1"/>
    <col min="18" max="24" width="10.7109375" customWidth="1"/>
  </cols>
  <sheetData>
    <row r="1" spans="1:38" ht="21">
      <c r="A1" s="127" t="s">
        <v>13</v>
      </c>
      <c r="B1" s="128"/>
      <c r="C1" s="128"/>
      <c r="D1" s="128"/>
      <c r="E1" s="128"/>
      <c r="F1" s="128"/>
      <c r="G1" s="128"/>
      <c r="H1" s="128"/>
      <c r="I1" s="128"/>
      <c r="J1" s="128"/>
      <c r="K1" s="128"/>
      <c r="L1" s="128"/>
      <c r="M1" s="128"/>
      <c r="N1" s="128"/>
      <c r="O1" s="128"/>
      <c r="P1" s="141"/>
      <c r="Q1" s="142"/>
      <c r="R1" s="141"/>
      <c r="S1" s="141"/>
      <c r="T1" s="141"/>
      <c r="U1" s="141"/>
      <c r="V1" s="141"/>
      <c r="W1" s="141"/>
      <c r="X1" s="141"/>
      <c r="Y1" s="143"/>
      <c r="Z1" s="143"/>
      <c r="AA1" s="143"/>
      <c r="AB1" s="143"/>
      <c r="AC1" s="143"/>
    </row>
    <row r="2" spans="1:38" ht="18.75">
      <c r="A2" s="129" t="s">
        <v>14</v>
      </c>
      <c r="B2" s="108"/>
      <c r="C2" s="108"/>
      <c r="D2" s="108"/>
      <c r="E2" s="108"/>
      <c r="F2" s="108"/>
      <c r="G2" s="108"/>
      <c r="H2" s="5"/>
      <c r="I2" s="5"/>
      <c r="P2" s="139" t="s">
        <v>15</v>
      </c>
      <c r="Q2" s="139"/>
      <c r="R2" s="139"/>
      <c r="S2" s="139"/>
      <c r="T2" s="139"/>
      <c r="U2" s="139"/>
      <c r="V2" s="139"/>
      <c r="W2" s="139"/>
      <c r="X2" s="139"/>
      <c r="Y2" s="139"/>
      <c r="Z2" s="139"/>
      <c r="AA2" s="139"/>
      <c r="AB2" s="139"/>
      <c r="AC2" s="139"/>
    </row>
    <row r="3" spans="1:38" ht="19.5" customHeight="1">
      <c r="A3" s="12"/>
      <c r="B3" s="13">
        <v>46113</v>
      </c>
      <c r="C3" s="14">
        <f>B3+31</f>
        <v>46144</v>
      </c>
      <c r="D3" s="14">
        <f>C3+31</f>
        <v>46175</v>
      </c>
      <c r="E3" s="14">
        <f>D3+31</f>
        <v>46206</v>
      </c>
      <c r="F3" s="14">
        <f t="shared" ref="F3" si="0">E3+31</f>
        <v>46237</v>
      </c>
      <c r="G3" s="14">
        <f t="shared" ref="G3:N3" si="1">F3+31</f>
        <v>46268</v>
      </c>
      <c r="H3" s="14">
        <f t="shared" si="1"/>
        <v>46299</v>
      </c>
      <c r="I3" s="14">
        <f t="shared" si="1"/>
        <v>46330</v>
      </c>
      <c r="J3" s="14">
        <f t="shared" si="1"/>
        <v>46361</v>
      </c>
      <c r="K3" s="14">
        <f t="shared" si="1"/>
        <v>46392</v>
      </c>
      <c r="L3" s="14">
        <f t="shared" si="1"/>
        <v>46423</v>
      </c>
      <c r="M3" s="14">
        <f t="shared" si="1"/>
        <v>46454</v>
      </c>
      <c r="N3" s="14">
        <f t="shared" si="1"/>
        <v>46485</v>
      </c>
      <c r="O3" s="15"/>
      <c r="P3" s="137" t="s">
        <v>16</v>
      </c>
      <c r="Q3" s="138">
        <f>B3</f>
        <v>46113</v>
      </c>
      <c r="R3" s="138">
        <f>C3</f>
        <v>46144</v>
      </c>
      <c r="S3" s="138">
        <f t="shared" ref="S3:W3" si="2">D3</f>
        <v>46175</v>
      </c>
      <c r="T3" s="138">
        <f t="shared" si="2"/>
        <v>46206</v>
      </c>
      <c r="U3" s="138">
        <f t="shared" si="2"/>
        <v>46237</v>
      </c>
      <c r="V3" s="138">
        <f t="shared" si="2"/>
        <v>46268</v>
      </c>
      <c r="W3" s="138">
        <f t="shared" si="2"/>
        <v>46299</v>
      </c>
      <c r="X3" s="138">
        <f t="shared" ref="X3" si="3">I3</f>
        <v>46330</v>
      </c>
      <c r="Y3" s="138">
        <f t="shared" ref="Y3" si="4">J3</f>
        <v>46361</v>
      </c>
      <c r="Z3" s="138">
        <f t="shared" ref="Z3" si="5">K3</f>
        <v>46392</v>
      </c>
      <c r="AA3" s="138">
        <f t="shared" ref="AA3" si="6">L3</f>
        <v>46423</v>
      </c>
      <c r="AB3" s="138">
        <f t="shared" ref="AB3" si="7">M3</f>
        <v>46454</v>
      </c>
      <c r="AC3" s="138">
        <f t="shared" ref="AC3" si="8">N3</f>
        <v>46485</v>
      </c>
      <c r="AD3" s="15"/>
      <c r="AE3" s="15"/>
      <c r="AF3" s="15"/>
      <c r="AG3" s="15"/>
      <c r="AH3" s="15"/>
      <c r="AI3" s="15"/>
      <c r="AJ3" s="15"/>
      <c r="AK3" s="15"/>
      <c r="AL3" s="15"/>
    </row>
    <row r="4" spans="1:38" ht="19.5" customHeight="1">
      <c r="A4" s="17" t="str">
        <f>INSTRUCCIONES!A2</f>
        <v>Project Manager</v>
      </c>
      <c r="B4" s="18">
        <v>28</v>
      </c>
      <c r="C4" s="18">
        <v>30</v>
      </c>
      <c r="D4" s="18">
        <v>30</v>
      </c>
      <c r="E4" s="18">
        <v>30</v>
      </c>
      <c r="F4" s="18">
        <v>30</v>
      </c>
      <c r="G4" s="18">
        <v>30</v>
      </c>
      <c r="H4" s="18">
        <v>30</v>
      </c>
      <c r="I4" s="18">
        <v>30</v>
      </c>
      <c r="J4" s="18">
        <v>30</v>
      </c>
      <c r="K4" s="18">
        <v>30</v>
      </c>
      <c r="L4" s="18">
        <v>30</v>
      </c>
      <c r="M4" s="18">
        <v>30</v>
      </c>
      <c r="N4" s="18">
        <v>30</v>
      </c>
      <c r="O4" s="5"/>
      <c r="P4" s="17" t="str">
        <f>A4</f>
        <v>Project Manager</v>
      </c>
      <c r="Q4" s="19">
        <f>B4/B$18</f>
        <v>7.1428571428571425E-2</v>
      </c>
      <c r="R4" s="19">
        <f>C4/C$18</f>
        <v>7.1428571428571425E-2</v>
      </c>
      <c r="S4" s="19">
        <f t="shared" ref="S4:W4" si="9">D4/D$18</f>
        <v>7.1428571428571425E-2</v>
      </c>
      <c r="T4" s="19">
        <f t="shared" si="9"/>
        <v>7.1428571428571425E-2</v>
      </c>
      <c r="U4" s="19">
        <f t="shared" si="9"/>
        <v>7.1428571428571425E-2</v>
      </c>
      <c r="V4" s="19">
        <f t="shared" si="9"/>
        <v>7.1428571428571425E-2</v>
      </c>
      <c r="W4" s="19">
        <f t="shared" si="9"/>
        <v>7.1428571428571425E-2</v>
      </c>
      <c r="X4" s="19">
        <f t="shared" ref="X4" si="10">I4/I$18</f>
        <v>7.1428571428571425E-2</v>
      </c>
      <c r="Y4" s="19">
        <f t="shared" ref="Y4" si="11">J4/J$18</f>
        <v>7.1428571428571425E-2</v>
      </c>
      <c r="Z4" s="19">
        <f t="shared" ref="Z4" si="12">K4/K$18</f>
        <v>7.1428571428571425E-2</v>
      </c>
      <c r="AA4" s="19">
        <f t="shared" ref="AA4" si="13">L4/L$18</f>
        <v>7.1428571428571425E-2</v>
      </c>
      <c r="AB4" s="19">
        <f t="shared" ref="AB4" si="14">M4/M$18</f>
        <v>7.1428571428571425E-2</v>
      </c>
      <c r="AC4" s="19">
        <f t="shared" ref="AC4" si="15">N4/N$18</f>
        <v>7.1428571428571425E-2</v>
      </c>
      <c r="AD4" s="5"/>
      <c r="AE4" s="5"/>
      <c r="AF4" s="5"/>
      <c r="AG4" s="5"/>
      <c r="AH4" s="5"/>
      <c r="AI4" s="5"/>
      <c r="AJ4" s="5"/>
      <c r="AK4" s="5"/>
      <c r="AL4" s="5"/>
    </row>
    <row r="5" spans="1:38" ht="19.5" customHeight="1">
      <c r="A5" s="17" t="str">
        <f>INSTRUCCIONES!A3</f>
        <v>Analista Funcional</v>
      </c>
      <c r="B5" s="18">
        <v>28</v>
      </c>
      <c r="C5" s="18">
        <v>30</v>
      </c>
      <c r="D5" s="18">
        <v>30</v>
      </c>
      <c r="E5" s="18">
        <v>30</v>
      </c>
      <c r="F5" s="18">
        <v>30</v>
      </c>
      <c r="G5" s="18">
        <v>30</v>
      </c>
      <c r="H5" s="18">
        <v>30</v>
      </c>
      <c r="I5" s="18">
        <v>30</v>
      </c>
      <c r="J5" s="18">
        <v>30</v>
      </c>
      <c r="K5" s="18">
        <v>30</v>
      </c>
      <c r="L5" s="18">
        <v>30</v>
      </c>
      <c r="M5" s="18">
        <v>30</v>
      </c>
      <c r="N5" s="18">
        <v>30</v>
      </c>
      <c r="O5" s="5"/>
      <c r="P5" s="17" t="str">
        <f>A5</f>
        <v>Analista Funcional</v>
      </c>
      <c r="Q5" s="19"/>
      <c r="R5" s="19"/>
      <c r="S5" s="19"/>
      <c r="T5" s="19"/>
      <c r="U5" s="19"/>
      <c r="V5" s="19"/>
      <c r="W5" s="19"/>
      <c r="X5" s="19"/>
      <c r="Y5" s="19"/>
      <c r="Z5" s="19"/>
      <c r="AA5" s="19"/>
      <c r="AB5" s="19"/>
      <c r="AC5" s="19"/>
      <c r="AD5" s="5"/>
      <c r="AE5" s="5"/>
      <c r="AF5" s="5"/>
      <c r="AG5" s="5"/>
      <c r="AH5" s="5"/>
      <c r="AI5" s="5"/>
      <c r="AJ5" s="5"/>
      <c r="AK5" s="5"/>
      <c r="AL5" s="5"/>
    </row>
    <row r="6" spans="1:38" ht="19.5" customHeight="1">
      <c r="A6" s="17" t="str">
        <f>INSTRUCCIONES!A4</f>
        <v>Sponsor</v>
      </c>
      <c r="B6" s="18">
        <v>28</v>
      </c>
      <c r="C6" s="18">
        <v>30</v>
      </c>
      <c r="D6" s="18">
        <v>30</v>
      </c>
      <c r="E6" s="18">
        <v>30</v>
      </c>
      <c r="F6" s="18">
        <v>30</v>
      </c>
      <c r="G6" s="18">
        <v>30</v>
      </c>
      <c r="H6" s="18">
        <v>30</v>
      </c>
      <c r="I6" s="18">
        <v>30</v>
      </c>
      <c r="J6" s="18">
        <v>30</v>
      </c>
      <c r="K6" s="18">
        <v>30</v>
      </c>
      <c r="L6" s="18">
        <v>30</v>
      </c>
      <c r="M6" s="18">
        <v>30</v>
      </c>
      <c r="N6" s="18">
        <v>30</v>
      </c>
      <c r="O6" s="5"/>
      <c r="P6" s="17" t="str">
        <f>A6</f>
        <v>Sponsor</v>
      </c>
      <c r="Q6" s="19"/>
      <c r="R6" s="19"/>
      <c r="S6" s="19"/>
      <c r="T6" s="19"/>
      <c r="U6" s="19"/>
      <c r="V6" s="19"/>
      <c r="W6" s="19"/>
      <c r="X6" s="19"/>
      <c r="Y6" s="19"/>
      <c r="Z6" s="19"/>
      <c r="AA6" s="19"/>
      <c r="AB6" s="19"/>
      <c r="AC6" s="19"/>
      <c r="AD6" s="5"/>
      <c r="AE6" s="5"/>
      <c r="AF6" s="5"/>
      <c r="AG6" s="5"/>
      <c r="AH6" s="5"/>
      <c r="AI6" s="5"/>
      <c r="AJ6" s="5"/>
      <c r="AK6" s="5"/>
      <c r="AL6" s="5"/>
    </row>
    <row r="7" spans="1:38" ht="19.5" customHeight="1">
      <c r="A7" s="17" t="str">
        <f>INSTRUCCIONES!A5</f>
        <v>Institución Piloto</v>
      </c>
      <c r="B7" s="18">
        <v>28</v>
      </c>
      <c r="C7" s="18">
        <v>30</v>
      </c>
      <c r="D7" s="18">
        <v>30</v>
      </c>
      <c r="E7" s="18">
        <v>30</v>
      </c>
      <c r="F7" s="18">
        <v>30</v>
      </c>
      <c r="G7" s="18">
        <v>30</v>
      </c>
      <c r="H7" s="18">
        <v>30</v>
      </c>
      <c r="I7" s="18">
        <v>30</v>
      </c>
      <c r="J7" s="18">
        <v>30</v>
      </c>
      <c r="K7" s="18">
        <v>30</v>
      </c>
      <c r="L7" s="18">
        <v>30</v>
      </c>
      <c r="M7" s="18">
        <v>30</v>
      </c>
      <c r="N7" s="18">
        <v>30</v>
      </c>
      <c r="O7" s="5"/>
      <c r="P7" s="17" t="str">
        <f>A7</f>
        <v>Institución Piloto</v>
      </c>
      <c r="Q7" s="19"/>
      <c r="R7" s="19"/>
      <c r="S7" s="19"/>
      <c r="T7" s="19"/>
      <c r="U7" s="19"/>
      <c r="V7" s="19"/>
      <c r="W7" s="19"/>
      <c r="X7" s="19"/>
      <c r="Y7" s="19"/>
      <c r="Z7" s="19"/>
      <c r="AA7" s="19"/>
      <c r="AB7" s="19"/>
      <c r="AC7" s="19"/>
      <c r="AD7" s="5"/>
      <c r="AE7" s="5"/>
      <c r="AF7" s="5"/>
      <c r="AG7" s="5"/>
      <c r="AH7" s="5"/>
      <c r="AI7" s="5"/>
      <c r="AJ7" s="5"/>
      <c r="AK7" s="5"/>
      <c r="AL7" s="5"/>
    </row>
    <row r="8" spans="1:38" ht="19.5" customHeight="1">
      <c r="A8" s="17" t="str">
        <f>INSTRUCCIONES!A6</f>
        <v>Product Owner</v>
      </c>
      <c r="B8" s="18">
        <v>28</v>
      </c>
      <c r="C8" s="18">
        <v>30</v>
      </c>
      <c r="D8" s="18">
        <v>30</v>
      </c>
      <c r="E8" s="18">
        <v>30</v>
      </c>
      <c r="F8" s="18">
        <v>30</v>
      </c>
      <c r="G8" s="18">
        <v>30</v>
      </c>
      <c r="H8" s="18">
        <v>30</v>
      </c>
      <c r="I8" s="18">
        <v>30</v>
      </c>
      <c r="J8" s="18">
        <v>30</v>
      </c>
      <c r="K8" s="18">
        <v>30</v>
      </c>
      <c r="L8" s="18">
        <v>30</v>
      </c>
      <c r="M8" s="18">
        <v>30</v>
      </c>
      <c r="N8" s="18">
        <v>30</v>
      </c>
      <c r="O8" s="5"/>
      <c r="P8" s="17" t="str">
        <f>A8</f>
        <v>Product Owner</v>
      </c>
      <c r="Q8" s="19">
        <f>B8/B$18</f>
        <v>7.1428571428571425E-2</v>
      </c>
      <c r="R8" s="19">
        <f>C8/C$18</f>
        <v>7.1428571428571425E-2</v>
      </c>
      <c r="S8" s="19">
        <f t="shared" ref="S8:W9" si="16">D8/D$18</f>
        <v>7.1428571428571425E-2</v>
      </c>
      <c r="T8" s="19">
        <f t="shared" si="16"/>
        <v>7.1428571428571425E-2</v>
      </c>
      <c r="U8" s="19">
        <f t="shared" si="16"/>
        <v>7.1428571428571425E-2</v>
      </c>
      <c r="V8" s="19">
        <f t="shared" si="16"/>
        <v>7.1428571428571425E-2</v>
      </c>
      <c r="W8" s="19">
        <f t="shared" si="16"/>
        <v>7.1428571428571425E-2</v>
      </c>
      <c r="X8" s="19">
        <f t="shared" ref="X8:X9" si="17">I8/I$18</f>
        <v>7.1428571428571425E-2</v>
      </c>
      <c r="Y8" s="19">
        <f t="shared" ref="Y8:Y9" si="18">J8/J$18</f>
        <v>7.1428571428571425E-2</v>
      </c>
      <c r="Z8" s="19">
        <f t="shared" ref="Z8:Z9" si="19">K8/K$18</f>
        <v>7.1428571428571425E-2</v>
      </c>
      <c r="AA8" s="19">
        <f t="shared" ref="AA8:AA9" si="20">L8/L$18</f>
        <v>7.1428571428571425E-2</v>
      </c>
      <c r="AB8" s="19">
        <f t="shared" ref="AB8:AB9" si="21">M8/M$18</f>
        <v>7.1428571428571425E-2</v>
      </c>
      <c r="AC8" s="19">
        <f t="shared" ref="AC8:AC9" si="22">N8/N$18</f>
        <v>7.1428571428571425E-2</v>
      </c>
      <c r="AD8" s="5"/>
      <c r="AE8" s="5"/>
      <c r="AF8" s="5"/>
      <c r="AG8" s="5"/>
      <c r="AH8" s="5"/>
      <c r="AI8" s="5"/>
      <c r="AJ8" s="5"/>
      <c r="AK8" s="5"/>
      <c r="AL8" s="5"/>
    </row>
    <row r="9" spans="1:38" ht="19.5" customHeight="1">
      <c r="A9" s="17" t="str">
        <f>INSTRUCCIONES!A7</f>
        <v>Finanzas</v>
      </c>
      <c r="B9" s="18">
        <v>28</v>
      </c>
      <c r="C9" s="18">
        <v>30</v>
      </c>
      <c r="D9" s="18">
        <v>30</v>
      </c>
      <c r="E9" s="18">
        <v>30</v>
      </c>
      <c r="F9" s="18">
        <v>30</v>
      </c>
      <c r="G9" s="18">
        <v>30</v>
      </c>
      <c r="H9" s="18">
        <v>30</v>
      </c>
      <c r="I9" s="18">
        <v>30</v>
      </c>
      <c r="J9" s="18">
        <v>30</v>
      </c>
      <c r="K9" s="18">
        <v>30</v>
      </c>
      <c r="L9" s="18">
        <v>30</v>
      </c>
      <c r="M9" s="18">
        <v>30</v>
      </c>
      <c r="N9" s="18">
        <v>30</v>
      </c>
      <c r="O9" s="5"/>
      <c r="P9" s="17" t="str">
        <f>A9</f>
        <v>Finanzas</v>
      </c>
      <c r="Q9" s="19">
        <f>B9/B$18</f>
        <v>7.1428571428571425E-2</v>
      </c>
      <c r="R9" s="19">
        <f>C9/C$18</f>
        <v>7.1428571428571425E-2</v>
      </c>
      <c r="S9" s="19">
        <f t="shared" si="16"/>
        <v>7.1428571428571425E-2</v>
      </c>
      <c r="T9" s="19">
        <f t="shared" si="16"/>
        <v>7.1428571428571425E-2</v>
      </c>
      <c r="U9" s="19">
        <f t="shared" si="16"/>
        <v>7.1428571428571425E-2</v>
      </c>
      <c r="V9" s="19">
        <f t="shared" si="16"/>
        <v>7.1428571428571425E-2</v>
      </c>
      <c r="W9" s="19">
        <f t="shared" si="16"/>
        <v>7.1428571428571425E-2</v>
      </c>
      <c r="X9" s="19">
        <f t="shared" si="17"/>
        <v>7.1428571428571425E-2</v>
      </c>
      <c r="Y9" s="19">
        <f t="shared" si="18"/>
        <v>7.1428571428571425E-2</v>
      </c>
      <c r="Z9" s="19">
        <f t="shared" si="19"/>
        <v>7.1428571428571425E-2</v>
      </c>
      <c r="AA9" s="19">
        <f t="shared" si="20"/>
        <v>7.1428571428571425E-2</v>
      </c>
      <c r="AB9" s="19">
        <f t="shared" si="21"/>
        <v>7.1428571428571425E-2</v>
      </c>
      <c r="AC9" s="19">
        <f t="shared" si="22"/>
        <v>7.1428571428571425E-2</v>
      </c>
      <c r="AD9" s="5"/>
      <c r="AE9" s="5"/>
      <c r="AF9" s="5"/>
      <c r="AG9" s="5"/>
      <c r="AH9" s="5"/>
      <c r="AI9" s="5"/>
      <c r="AJ9" s="5"/>
      <c r="AK9" s="5"/>
      <c r="AL9" s="5"/>
    </row>
    <row r="10" spans="1:38" ht="19.5" customHeight="1">
      <c r="A10" s="17" t="str">
        <f>INSTRUCCIONES!A8</f>
        <v>Arquitecto de Software</v>
      </c>
      <c r="B10" s="18">
        <v>28</v>
      </c>
      <c r="C10" s="18">
        <v>30</v>
      </c>
      <c r="D10" s="18">
        <v>30</v>
      </c>
      <c r="E10" s="18">
        <v>30</v>
      </c>
      <c r="F10" s="18">
        <v>30</v>
      </c>
      <c r="G10" s="18">
        <v>30</v>
      </c>
      <c r="H10" s="18">
        <v>30</v>
      </c>
      <c r="I10" s="18">
        <v>30</v>
      </c>
      <c r="J10" s="18">
        <v>30</v>
      </c>
      <c r="K10" s="18">
        <v>30</v>
      </c>
      <c r="L10" s="18">
        <v>30</v>
      </c>
      <c r="M10" s="18">
        <v>30</v>
      </c>
      <c r="N10" s="18">
        <v>30</v>
      </c>
      <c r="O10" s="5"/>
      <c r="P10" s="17" t="str">
        <f>A10</f>
        <v>Arquitecto de Software</v>
      </c>
      <c r="Q10" s="19"/>
      <c r="R10" s="19"/>
      <c r="S10" s="19"/>
      <c r="T10" s="19"/>
      <c r="U10" s="19"/>
      <c r="V10" s="19"/>
      <c r="W10" s="19"/>
      <c r="X10" s="19"/>
      <c r="Y10" s="19"/>
      <c r="Z10" s="19"/>
      <c r="AA10" s="19"/>
      <c r="AB10" s="19"/>
      <c r="AC10" s="19"/>
      <c r="AD10" s="5"/>
      <c r="AE10" s="5"/>
      <c r="AF10" s="5"/>
      <c r="AG10" s="5"/>
      <c r="AH10" s="5"/>
      <c r="AI10" s="5"/>
      <c r="AJ10" s="5"/>
      <c r="AK10" s="5"/>
      <c r="AL10" s="5"/>
    </row>
    <row r="11" spans="1:38" ht="19.5" customHeight="1">
      <c r="A11" s="17" t="str">
        <f>INSTRUCCIONES!A9</f>
        <v>DevOps</v>
      </c>
      <c r="B11" s="18">
        <v>28</v>
      </c>
      <c r="C11" s="18">
        <v>30</v>
      </c>
      <c r="D11" s="18">
        <v>30</v>
      </c>
      <c r="E11" s="18">
        <v>30</v>
      </c>
      <c r="F11" s="18">
        <v>30</v>
      </c>
      <c r="G11" s="18">
        <v>30</v>
      </c>
      <c r="H11" s="18">
        <v>30</v>
      </c>
      <c r="I11" s="18">
        <v>30</v>
      </c>
      <c r="J11" s="18">
        <v>30</v>
      </c>
      <c r="K11" s="18">
        <v>30</v>
      </c>
      <c r="L11" s="18">
        <v>30</v>
      </c>
      <c r="M11" s="18">
        <v>30</v>
      </c>
      <c r="N11" s="18">
        <v>30</v>
      </c>
      <c r="O11" s="5"/>
      <c r="P11" s="17" t="str">
        <f>A11</f>
        <v>DevOps</v>
      </c>
      <c r="Q11" s="19"/>
      <c r="R11" s="19"/>
      <c r="S11" s="19"/>
      <c r="T11" s="19"/>
      <c r="U11" s="19"/>
      <c r="V11" s="19"/>
      <c r="W11" s="19"/>
      <c r="X11" s="19"/>
      <c r="Y11" s="19"/>
      <c r="Z11" s="19"/>
      <c r="AA11" s="19"/>
      <c r="AB11" s="19"/>
      <c r="AC11" s="19"/>
      <c r="AD11" s="5"/>
      <c r="AE11" s="5"/>
      <c r="AF11" s="5"/>
      <c r="AG11" s="5"/>
      <c r="AH11" s="5"/>
      <c r="AI11" s="5"/>
      <c r="AJ11" s="5"/>
      <c r="AK11" s="5"/>
      <c r="AL11" s="5"/>
    </row>
    <row r="12" spans="1:38" ht="19.5" customHeight="1">
      <c r="A12" s="17" t="str">
        <f>INSTRUCCIONES!A10</f>
        <v>Responsable de Seguridad</v>
      </c>
      <c r="B12" s="18">
        <v>28</v>
      </c>
      <c r="C12" s="18">
        <v>30</v>
      </c>
      <c r="D12" s="18">
        <v>30</v>
      </c>
      <c r="E12" s="18">
        <v>30</v>
      </c>
      <c r="F12" s="18">
        <v>30</v>
      </c>
      <c r="G12" s="18">
        <v>30</v>
      </c>
      <c r="H12" s="18">
        <v>30</v>
      </c>
      <c r="I12" s="18">
        <v>30</v>
      </c>
      <c r="J12" s="18">
        <v>30</v>
      </c>
      <c r="K12" s="18">
        <v>30</v>
      </c>
      <c r="L12" s="18">
        <v>30</v>
      </c>
      <c r="M12" s="18">
        <v>30</v>
      </c>
      <c r="N12" s="18">
        <v>30</v>
      </c>
      <c r="O12" s="5"/>
      <c r="P12" s="17" t="str">
        <f>A12</f>
        <v>Responsable de Seguridad</v>
      </c>
      <c r="Q12" s="19"/>
      <c r="R12" s="19"/>
      <c r="S12" s="19"/>
      <c r="T12" s="19"/>
      <c r="U12" s="19"/>
      <c r="V12" s="19"/>
      <c r="W12" s="19"/>
      <c r="X12" s="19"/>
      <c r="Y12" s="19"/>
      <c r="Z12" s="19"/>
      <c r="AA12" s="19"/>
      <c r="AB12" s="19"/>
      <c r="AC12" s="19"/>
      <c r="AD12" s="5"/>
      <c r="AE12" s="5"/>
      <c r="AF12" s="5"/>
      <c r="AG12" s="5"/>
      <c r="AH12" s="5"/>
      <c r="AI12" s="5"/>
      <c r="AJ12" s="5"/>
      <c r="AK12" s="5"/>
      <c r="AL12" s="5"/>
    </row>
    <row r="13" spans="1:38" ht="19.5" customHeight="1">
      <c r="A13" s="17" t="str">
        <f>INSTRUCCIONES!A11</f>
        <v>Arquitecto de Base de Datos</v>
      </c>
      <c r="B13" s="18">
        <v>28</v>
      </c>
      <c r="C13" s="18">
        <v>30</v>
      </c>
      <c r="D13" s="18">
        <v>30</v>
      </c>
      <c r="E13" s="18">
        <v>30</v>
      </c>
      <c r="F13" s="18">
        <v>30</v>
      </c>
      <c r="G13" s="18">
        <v>30</v>
      </c>
      <c r="H13" s="18">
        <v>30</v>
      </c>
      <c r="I13" s="18">
        <v>30</v>
      </c>
      <c r="J13" s="18">
        <v>30</v>
      </c>
      <c r="K13" s="18">
        <v>30</v>
      </c>
      <c r="L13" s="18">
        <v>30</v>
      </c>
      <c r="M13" s="18">
        <v>30</v>
      </c>
      <c r="N13" s="18">
        <v>30</v>
      </c>
      <c r="O13" s="5"/>
      <c r="P13" s="17" t="str">
        <f>A13</f>
        <v>Arquitecto de Base de Datos</v>
      </c>
      <c r="Q13" s="19"/>
      <c r="R13" s="19"/>
      <c r="S13" s="19"/>
      <c r="T13" s="19"/>
      <c r="U13" s="19"/>
      <c r="V13" s="19"/>
      <c r="W13" s="19"/>
      <c r="X13" s="19"/>
      <c r="Y13" s="19"/>
      <c r="Z13" s="19"/>
      <c r="AA13" s="19"/>
      <c r="AB13" s="19"/>
      <c r="AC13" s="19"/>
      <c r="AD13" s="5"/>
      <c r="AE13" s="5"/>
      <c r="AF13" s="5"/>
      <c r="AG13" s="5"/>
      <c r="AH13" s="5"/>
      <c r="AI13" s="5"/>
      <c r="AJ13" s="5"/>
      <c r="AK13" s="5"/>
      <c r="AL13" s="5"/>
    </row>
    <row r="14" spans="1:38" ht="19.5" customHeight="1">
      <c r="A14" s="17" t="str">
        <f>INSTRUCCIONES!A12</f>
        <v>Desarrollador Backend</v>
      </c>
      <c r="B14" s="18">
        <v>28</v>
      </c>
      <c r="C14" s="18">
        <v>30</v>
      </c>
      <c r="D14" s="18">
        <v>30</v>
      </c>
      <c r="E14" s="18">
        <v>30</v>
      </c>
      <c r="F14" s="18">
        <v>30</v>
      </c>
      <c r="G14" s="18">
        <v>30</v>
      </c>
      <c r="H14" s="18">
        <v>30</v>
      </c>
      <c r="I14" s="18">
        <v>30</v>
      </c>
      <c r="J14" s="18">
        <v>30</v>
      </c>
      <c r="K14" s="18">
        <v>30</v>
      </c>
      <c r="L14" s="18">
        <v>30</v>
      </c>
      <c r="M14" s="18">
        <v>30</v>
      </c>
      <c r="N14" s="18">
        <v>30</v>
      </c>
      <c r="O14" s="5"/>
      <c r="P14" s="17" t="str">
        <f>A14</f>
        <v>Desarrollador Backend</v>
      </c>
      <c r="Q14" s="19">
        <f>B14/B$18</f>
        <v>7.1428571428571425E-2</v>
      </c>
      <c r="R14" s="19">
        <f>C14/C$18</f>
        <v>7.1428571428571425E-2</v>
      </c>
      <c r="S14" s="19">
        <f t="shared" ref="S14:W17" si="23">D14/D$18</f>
        <v>7.1428571428571425E-2</v>
      </c>
      <c r="T14" s="19">
        <f t="shared" si="23"/>
        <v>7.1428571428571425E-2</v>
      </c>
      <c r="U14" s="19">
        <f t="shared" si="23"/>
        <v>7.1428571428571425E-2</v>
      </c>
      <c r="V14" s="19">
        <f t="shared" si="23"/>
        <v>7.1428571428571425E-2</v>
      </c>
      <c r="W14" s="19">
        <f t="shared" si="23"/>
        <v>7.1428571428571425E-2</v>
      </c>
      <c r="X14" s="19">
        <f t="shared" ref="X14:X17" si="24">I14/I$18</f>
        <v>7.1428571428571425E-2</v>
      </c>
      <c r="Y14" s="19">
        <f t="shared" ref="Y14:Y17" si="25">J14/J$18</f>
        <v>7.1428571428571425E-2</v>
      </c>
      <c r="Z14" s="19">
        <f t="shared" ref="Z14:Z17" si="26">K14/K$18</f>
        <v>7.1428571428571425E-2</v>
      </c>
      <c r="AA14" s="19">
        <f t="shared" ref="AA14:AA17" si="27">L14/L$18</f>
        <v>7.1428571428571425E-2</v>
      </c>
      <c r="AB14" s="19">
        <f t="shared" ref="AB14:AB17" si="28">M14/M$18</f>
        <v>7.1428571428571425E-2</v>
      </c>
      <c r="AC14" s="19">
        <f t="shared" ref="AC14:AC17" si="29">N14/N$18</f>
        <v>7.1428571428571425E-2</v>
      </c>
      <c r="AD14" s="5"/>
      <c r="AE14" s="5"/>
      <c r="AF14" s="5"/>
      <c r="AG14" s="5"/>
      <c r="AH14" s="5"/>
      <c r="AI14" s="5"/>
      <c r="AJ14" s="5"/>
      <c r="AK14" s="5"/>
      <c r="AL14" s="5"/>
    </row>
    <row r="15" spans="1:38" ht="19.5" customHeight="1">
      <c r="A15" s="17" t="str">
        <f>INSTRUCCIONES!A13</f>
        <v>Desarrollador Frontend</v>
      </c>
      <c r="B15" s="18">
        <v>28</v>
      </c>
      <c r="C15" s="18">
        <v>30</v>
      </c>
      <c r="D15" s="18">
        <v>30</v>
      </c>
      <c r="E15" s="18">
        <v>30</v>
      </c>
      <c r="F15" s="18">
        <v>30</v>
      </c>
      <c r="G15" s="18">
        <v>30</v>
      </c>
      <c r="H15" s="18">
        <v>30</v>
      </c>
      <c r="I15" s="18">
        <v>30</v>
      </c>
      <c r="J15" s="18">
        <v>30</v>
      </c>
      <c r="K15" s="18">
        <v>30</v>
      </c>
      <c r="L15" s="18">
        <v>30</v>
      </c>
      <c r="M15" s="18">
        <v>30</v>
      </c>
      <c r="N15" s="18">
        <v>30</v>
      </c>
      <c r="O15" s="22"/>
      <c r="P15" s="17" t="str">
        <f>A15</f>
        <v>Desarrollador Frontend</v>
      </c>
      <c r="Q15" s="19">
        <f>B15/B$18</f>
        <v>7.1428571428571425E-2</v>
      </c>
      <c r="R15" s="19">
        <f>C15/C$18</f>
        <v>7.1428571428571425E-2</v>
      </c>
      <c r="S15" s="19">
        <f t="shared" si="23"/>
        <v>7.1428571428571425E-2</v>
      </c>
      <c r="T15" s="19">
        <f t="shared" si="23"/>
        <v>7.1428571428571425E-2</v>
      </c>
      <c r="U15" s="19">
        <f t="shared" si="23"/>
        <v>7.1428571428571425E-2</v>
      </c>
      <c r="V15" s="19">
        <f t="shared" si="23"/>
        <v>7.1428571428571425E-2</v>
      </c>
      <c r="W15" s="19">
        <f t="shared" si="23"/>
        <v>7.1428571428571425E-2</v>
      </c>
      <c r="X15" s="19">
        <f t="shared" si="24"/>
        <v>7.1428571428571425E-2</v>
      </c>
      <c r="Y15" s="19">
        <f t="shared" si="25"/>
        <v>7.1428571428571425E-2</v>
      </c>
      <c r="Z15" s="19">
        <f t="shared" si="26"/>
        <v>7.1428571428571425E-2</v>
      </c>
      <c r="AA15" s="19">
        <f t="shared" si="27"/>
        <v>7.1428571428571425E-2</v>
      </c>
      <c r="AB15" s="19">
        <f t="shared" si="28"/>
        <v>7.1428571428571425E-2</v>
      </c>
      <c r="AC15" s="19">
        <f t="shared" si="29"/>
        <v>7.1428571428571425E-2</v>
      </c>
      <c r="AD15" s="5"/>
      <c r="AE15" s="5"/>
      <c r="AF15" s="5"/>
      <c r="AG15" s="5"/>
      <c r="AH15" s="5"/>
      <c r="AI15" s="5"/>
      <c r="AJ15" s="5"/>
      <c r="AK15" s="5"/>
      <c r="AL15" s="5"/>
    </row>
    <row r="16" spans="1:38" ht="19.5" customHeight="1">
      <c r="A16" s="17" t="str">
        <f>INSTRUCCIONES!A14</f>
        <v>QA Consultant</v>
      </c>
      <c r="B16" s="18">
        <v>28</v>
      </c>
      <c r="C16" s="18">
        <v>30</v>
      </c>
      <c r="D16" s="18">
        <v>30</v>
      </c>
      <c r="E16" s="18">
        <v>30</v>
      </c>
      <c r="F16" s="18">
        <v>30</v>
      </c>
      <c r="G16" s="18">
        <v>30</v>
      </c>
      <c r="H16" s="18">
        <v>30</v>
      </c>
      <c r="I16" s="18">
        <v>30</v>
      </c>
      <c r="J16" s="18">
        <v>30</v>
      </c>
      <c r="K16" s="18">
        <v>30</v>
      </c>
      <c r="L16" s="18">
        <v>30</v>
      </c>
      <c r="M16" s="18">
        <v>30</v>
      </c>
      <c r="N16" s="18">
        <v>30</v>
      </c>
      <c r="O16" s="5"/>
      <c r="P16" s="17" t="str">
        <f>A16</f>
        <v>QA Consultant</v>
      </c>
      <c r="Q16" s="19">
        <f>B16/B$18</f>
        <v>7.1428571428571425E-2</v>
      </c>
      <c r="R16" s="19">
        <f>C16/C$18</f>
        <v>7.1428571428571425E-2</v>
      </c>
      <c r="S16" s="19">
        <f t="shared" si="23"/>
        <v>7.1428571428571425E-2</v>
      </c>
      <c r="T16" s="19">
        <f t="shared" si="23"/>
        <v>7.1428571428571425E-2</v>
      </c>
      <c r="U16" s="19">
        <f t="shared" si="23"/>
        <v>7.1428571428571425E-2</v>
      </c>
      <c r="V16" s="19">
        <f t="shared" si="23"/>
        <v>7.1428571428571425E-2</v>
      </c>
      <c r="W16" s="19">
        <f t="shared" si="23"/>
        <v>7.1428571428571425E-2</v>
      </c>
      <c r="X16" s="19">
        <f t="shared" si="24"/>
        <v>7.1428571428571425E-2</v>
      </c>
      <c r="Y16" s="19">
        <f t="shared" si="25"/>
        <v>7.1428571428571425E-2</v>
      </c>
      <c r="Z16" s="19">
        <f t="shared" si="26"/>
        <v>7.1428571428571425E-2</v>
      </c>
      <c r="AA16" s="19">
        <f t="shared" si="27"/>
        <v>7.1428571428571425E-2</v>
      </c>
      <c r="AB16" s="19">
        <f t="shared" si="28"/>
        <v>7.1428571428571425E-2</v>
      </c>
      <c r="AC16" s="19">
        <f t="shared" si="29"/>
        <v>7.1428571428571425E-2</v>
      </c>
      <c r="AD16" s="5"/>
      <c r="AE16" s="5"/>
      <c r="AF16" s="5"/>
      <c r="AG16" s="5"/>
      <c r="AH16" s="5"/>
      <c r="AI16" s="5"/>
      <c r="AJ16" s="5"/>
      <c r="AK16" s="5"/>
      <c r="AL16" s="5"/>
    </row>
    <row r="17" spans="1:38" ht="19.5" customHeight="1">
      <c r="A17" s="17" t="str">
        <f>INSTRUCCIONES!A15</f>
        <v>Soporte</v>
      </c>
      <c r="B17" s="18">
        <v>28</v>
      </c>
      <c r="C17" s="18">
        <v>30</v>
      </c>
      <c r="D17" s="18">
        <v>30</v>
      </c>
      <c r="E17" s="18">
        <v>30</v>
      </c>
      <c r="F17" s="18">
        <v>30</v>
      </c>
      <c r="G17" s="18">
        <v>30</v>
      </c>
      <c r="H17" s="18">
        <v>30</v>
      </c>
      <c r="I17" s="18">
        <v>30</v>
      </c>
      <c r="J17" s="18">
        <v>30</v>
      </c>
      <c r="K17" s="18">
        <v>30</v>
      </c>
      <c r="L17" s="18">
        <v>30</v>
      </c>
      <c r="M17" s="18">
        <v>30</v>
      </c>
      <c r="N17" s="18">
        <v>30</v>
      </c>
      <c r="O17" s="5"/>
      <c r="P17" s="145" t="str">
        <f>A17</f>
        <v>Soporte</v>
      </c>
      <c r="Q17" s="19">
        <f>B17/B$18</f>
        <v>7.1428571428571425E-2</v>
      </c>
      <c r="R17" s="19">
        <f>C17/C$18</f>
        <v>7.1428571428571425E-2</v>
      </c>
      <c r="S17" s="19">
        <f t="shared" si="23"/>
        <v>7.1428571428571425E-2</v>
      </c>
      <c r="T17" s="19">
        <f t="shared" si="23"/>
        <v>7.1428571428571425E-2</v>
      </c>
      <c r="U17" s="19">
        <f t="shared" si="23"/>
        <v>7.1428571428571425E-2</v>
      </c>
      <c r="V17" s="19">
        <f t="shared" si="23"/>
        <v>7.1428571428571425E-2</v>
      </c>
      <c r="W17" s="19">
        <f t="shared" si="23"/>
        <v>7.1428571428571425E-2</v>
      </c>
      <c r="X17" s="19">
        <f t="shared" si="24"/>
        <v>7.1428571428571425E-2</v>
      </c>
      <c r="Y17" s="19">
        <f t="shared" si="25"/>
        <v>7.1428571428571425E-2</v>
      </c>
      <c r="Z17" s="19">
        <f t="shared" si="26"/>
        <v>7.1428571428571425E-2</v>
      </c>
      <c r="AA17" s="19">
        <f t="shared" si="27"/>
        <v>7.1428571428571425E-2</v>
      </c>
      <c r="AB17" s="19">
        <f t="shared" si="28"/>
        <v>7.1428571428571425E-2</v>
      </c>
      <c r="AC17" s="19">
        <f t="shared" si="29"/>
        <v>7.1428571428571425E-2</v>
      </c>
      <c r="AD17" s="5"/>
      <c r="AE17" s="5"/>
      <c r="AF17" s="5"/>
      <c r="AG17" s="5"/>
      <c r="AH17" s="5"/>
      <c r="AI17" s="5"/>
      <c r="AJ17" s="5"/>
      <c r="AK17" s="5"/>
      <c r="AL17" s="5"/>
    </row>
    <row r="18" spans="1:38">
      <c r="A18" s="20" t="s">
        <v>17</v>
      </c>
      <c r="B18" s="21">
        <f>SUM(B4:B17)</f>
        <v>392</v>
      </c>
      <c r="C18" s="21">
        <f>SUM(C4:C17)</f>
        <v>420</v>
      </c>
      <c r="D18" s="21">
        <f t="shared" ref="D18:F18" si="30">SUM(D4:D17)</f>
        <v>420</v>
      </c>
      <c r="E18" s="21">
        <f t="shared" si="30"/>
        <v>420</v>
      </c>
      <c r="F18" s="21">
        <f t="shared" si="30"/>
        <v>420</v>
      </c>
      <c r="G18" s="21">
        <f t="shared" ref="G18" si="31">SUM(G4:G17)</f>
        <v>420</v>
      </c>
      <c r="H18" s="21">
        <f t="shared" ref="H18" si="32">SUM(H4:H17)</f>
        <v>420</v>
      </c>
      <c r="I18" s="21">
        <f t="shared" ref="I18" si="33">SUM(I4:I17)</f>
        <v>420</v>
      </c>
      <c r="J18" s="21">
        <f t="shared" ref="J18" si="34">SUM(J4:J17)</f>
        <v>420</v>
      </c>
      <c r="K18" s="21">
        <f t="shared" ref="K18" si="35">SUM(K4:K17)</f>
        <v>420</v>
      </c>
      <c r="L18" s="21">
        <f t="shared" ref="L18" si="36">SUM(L4:L17)</f>
        <v>420</v>
      </c>
      <c r="M18" s="21">
        <f t="shared" ref="M18" si="37">SUM(M4:M17)</f>
        <v>420</v>
      </c>
      <c r="N18" s="21">
        <f t="shared" ref="N18" si="38">SUM(N4:N17)</f>
        <v>420</v>
      </c>
      <c r="O18" s="5"/>
      <c r="P18" s="146" t="s">
        <v>33</v>
      </c>
      <c r="Q18" s="144">
        <f>B18/SUM($B18:$N18)</f>
        <v>7.2164948453608241E-2</v>
      </c>
      <c r="R18" s="23">
        <f>C18/SUM($B18:$N18)</f>
        <v>7.7319587628865982E-2</v>
      </c>
      <c r="S18" s="23">
        <f t="shared" ref="S18:W18" si="39">D18/SUM($B18:$N18)</f>
        <v>7.7319587628865982E-2</v>
      </c>
      <c r="T18" s="23">
        <f t="shared" si="39"/>
        <v>7.7319587628865982E-2</v>
      </c>
      <c r="U18" s="23">
        <f t="shared" si="39"/>
        <v>7.7319587628865982E-2</v>
      </c>
      <c r="V18" s="23">
        <f t="shared" si="39"/>
        <v>7.7319587628865982E-2</v>
      </c>
      <c r="W18" s="23">
        <f t="shared" si="39"/>
        <v>7.7319587628865982E-2</v>
      </c>
      <c r="X18" s="23">
        <f t="shared" ref="X18" si="40">I18/SUM($B18:$N18)</f>
        <v>7.7319587628865982E-2</v>
      </c>
      <c r="Y18" s="23">
        <f t="shared" ref="Y18" si="41">J18/SUM($B18:$N18)</f>
        <v>7.7319587628865982E-2</v>
      </c>
      <c r="Z18" s="23">
        <f t="shared" ref="Z18" si="42">K18/SUM($B18:$N18)</f>
        <v>7.7319587628865982E-2</v>
      </c>
      <c r="AA18" s="23">
        <f t="shared" ref="AA18" si="43">L18/SUM($B18:$N18)</f>
        <v>7.7319587628865982E-2</v>
      </c>
      <c r="AB18" s="23">
        <f t="shared" ref="AB18" si="44">M18/SUM($B18:$N18)</f>
        <v>7.7319587628865982E-2</v>
      </c>
      <c r="AC18" s="23">
        <f t="shared" ref="AC18" si="45">N18/SUM($B18:$N18)</f>
        <v>7.7319587628865982E-2</v>
      </c>
      <c r="AD18" s="5"/>
      <c r="AE18" s="5"/>
      <c r="AF18" s="5"/>
      <c r="AG18" s="5"/>
      <c r="AH18" s="5"/>
      <c r="AI18" s="5"/>
      <c r="AJ18" s="5"/>
      <c r="AK18" s="5"/>
      <c r="AL18" s="5"/>
    </row>
    <row r="19" spans="1:38">
      <c r="A19" s="5"/>
      <c r="B19" s="5"/>
      <c r="C19" s="5"/>
      <c r="D19" s="5"/>
      <c r="E19" s="5"/>
      <c r="F19" s="5"/>
      <c r="G19" s="5"/>
      <c r="H19" s="5"/>
      <c r="I19" s="5"/>
      <c r="J19" s="5"/>
      <c r="K19" s="5"/>
      <c r="L19" s="5"/>
      <c r="M19" s="5"/>
      <c r="N19" s="5"/>
      <c r="O19" s="5"/>
      <c r="P19" s="5"/>
      <c r="Q19" s="5"/>
      <c r="R19" s="5"/>
      <c r="S19" s="5"/>
      <c r="T19" s="5"/>
      <c r="U19" s="5"/>
      <c r="V19" s="5"/>
      <c r="W19" s="5"/>
      <c r="X19" s="5"/>
    </row>
    <row r="20" spans="1:38" ht="18.75">
      <c r="A20" s="129" t="s">
        <v>18</v>
      </c>
      <c r="B20" s="108"/>
      <c r="C20" s="108"/>
      <c r="D20" s="108"/>
      <c r="E20" s="108"/>
      <c r="F20" s="108"/>
      <c r="G20" s="108"/>
      <c r="H20" s="5"/>
      <c r="I20" s="5"/>
      <c r="J20" s="5"/>
      <c r="K20" s="5"/>
      <c r="L20" s="5"/>
      <c r="M20" s="5"/>
      <c r="N20" s="5"/>
      <c r="O20" s="5"/>
      <c r="P20" s="5"/>
      <c r="Q20" s="5"/>
      <c r="R20" s="5"/>
      <c r="S20" s="5"/>
      <c r="T20" s="5"/>
      <c r="U20" s="5"/>
      <c r="V20" s="5"/>
      <c r="W20" s="5"/>
      <c r="X20" s="5"/>
    </row>
    <row r="21" spans="1:38">
      <c r="A21" s="16" t="s">
        <v>16</v>
      </c>
      <c r="B21" s="14">
        <f>B3</f>
        <v>46113</v>
      </c>
      <c r="C21" s="14">
        <f>C3</f>
        <v>46144</v>
      </c>
      <c r="D21" s="14">
        <f t="shared" ref="D21:N21" si="46">D3</f>
        <v>46175</v>
      </c>
      <c r="E21" s="14">
        <f t="shared" si="46"/>
        <v>46206</v>
      </c>
      <c r="F21" s="14">
        <f t="shared" si="46"/>
        <v>46237</v>
      </c>
      <c r="G21" s="14">
        <f t="shared" si="46"/>
        <v>46268</v>
      </c>
      <c r="H21" s="14">
        <f t="shared" si="46"/>
        <v>46299</v>
      </c>
      <c r="I21" s="14">
        <f t="shared" si="46"/>
        <v>46330</v>
      </c>
      <c r="J21" s="14">
        <f t="shared" si="46"/>
        <v>46361</v>
      </c>
      <c r="K21" s="14">
        <f t="shared" si="46"/>
        <v>46392</v>
      </c>
      <c r="L21" s="14">
        <f t="shared" si="46"/>
        <v>46423</v>
      </c>
      <c r="M21" s="14">
        <f t="shared" si="46"/>
        <v>46454</v>
      </c>
      <c r="N21" s="14">
        <f t="shared" si="46"/>
        <v>46485</v>
      </c>
      <c r="O21" s="5"/>
      <c r="P21" s="5"/>
      <c r="Q21" s="5"/>
      <c r="R21" s="5"/>
      <c r="S21" s="5"/>
      <c r="T21" s="5"/>
      <c r="U21" s="5"/>
      <c r="V21" s="5"/>
      <c r="W21" s="5"/>
      <c r="X21" s="5"/>
      <c r="Y21" s="5"/>
      <c r="Z21" s="5"/>
      <c r="AA21" s="5"/>
      <c r="AB21" s="5"/>
      <c r="AC21" s="5"/>
      <c r="AD21" s="5"/>
      <c r="AE21" s="5"/>
    </row>
    <row r="22" spans="1:38">
      <c r="A22" s="17" t="str">
        <f>A4</f>
        <v>Project Manager</v>
      </c>
      <c r="B22" s="8">
        <f>B4*INSTRUCCIONES!$F2</f>
        <v>262.5</v>
      </c>
      <c r="C22" s="8">
        <f>C4*INSTRUCCIONES!$F2</f>
        <v>281.25</v>
      </c>
      <c r="D22" s="8">
        <f>D4*INSTRUCCIONES!$F2</f>
        <v>281.25</v>
      </c>
      <c r="E22" s="8">
        <f>E4*INSTRUCCIONES!$F2</f>
        <v>281.25</v>
      </c>
      <c r="F22" s="8">
        <f>F4*INSTRUCCIONES!$F2</f>
        <v>281.25</v>
      </c>
      <c r="G22" s="8">
        <f>G4*INSTRUCCIONES!$F2</f>
        <v>281.25</v>
      </c>
      <c r="H22" s="8">
        <f>H4*INSTRUCCIONES!$F2</f>
        <v>281.25</v>
      </c>
      <c r="I22" s="8">
        <f>I4*INSTRUCCIONES!$F2</f>
        <v>281.25</v>
      </c>
      <c r="J22" s="8">
        <f>J4*INSTRUCCIONES!$F2</f>
        <v>281.25</v>
      </c>
      <c r="K22" s="8">
        <f>K4*INSTRUCCIONES!$F2</f>
        <v>281.25</v>
      </c>
      <c r="L22" s="8">
        <f>L4*INSTRUCCIONES!$F2</f>
        <v>281.25</v>
      </c>
      <c r="M22" s="8">
        <f>M4*INSTRUCCIONES!$F2</f>
        <v>281.25</v>
      </c>
      <c r="N22" s="8">
        <f>N4*INSTRUCCIONES!$F2</f>
        <v>281.25</v>
      </c>
      <c r="O22" s="5"/>
      <c r="P22" s="5"/>
      <c r="Q22" s="5"/>
      <c r="R22" s="5"/>
      <c r="S22" s="5"/>
      <c r="T22" s="5"/>
      <c r="U22" s="5"/>
      <c r="V22" s="5"/>
      <c r="W22" s="5"/>
      <c r="X22" s="5"/>
      <c r="Y22" s="5"/>
      <c r="Z22" s="5"/>
      <c r="AA22" s="5"/>
      <c r="AB22" s="5"/>
      <c r="AC22" s="5"/>
      <c r="AD22" s="5"/>
      <c r="AE22" s="5"/>
    </row>
    <row r="23" spans="1:38">
      <c r="A23" s="17" t="str">
        <f t="shared" ref="A23:A35" si="47">A5</f>
        <v>Analista Funcional</v>
      </c>
      <c r="B23" s="8">
        <f>B5*INSTRUCCIONES!$F3</f>
        <v>261.04347826086956</v>
      </c>
      <c r="C23" s="8">
        <f>C5*INSTRUCCIONES!$F3</f>
        <v>279.68944099378882</v>
      </c>
      <c r="D23" s="8">
        <f>D5*INSTRUCCIONES!$F3</f>
        <v>279.68944099378882</v>
      </c>
      <c r="E23" s="8">
        <f>E5*INSTRUCCIONES!$F3</f>
        <v>279.68944099378882</v>
      </c>
      <c r="F23" s="8">
        <f>F5*INSTRUCCIONES!$F3</f>
        <v>279.68944099378882</v>
      </c>
      <c r="G23" s="8">
        <f>G5*INSTRUCCIONES!$F3</f>
        <v>279.68944099378882</v>
      </c>
      <c r="H23" s="8">
        <f>H5*INSTRUCCIONES!$F3</f>
        <v>279.68944099378882</v>
      </c>
      <c r="I23" s="8">
        <f>I5*INSTRUCCIONES!$F3</f>
        <v>279.68944099378882</v>
      </c>
      <c r="J23" s="8">
        <f>J5*INSTRUCCIONES!$F3</f>
        <v>279.68944099378882</v>
      </c>
      <c r="K23" s="8">
        <f>K5*INSTRUCCIONES!$F3</f>
        <v>279.68944099378882</v>
      </c>
      <c r="L23" s="8">
        <f>L5*INSTRUCCIONES!$F3</f>
        <v>279.68944099378882</v>
      </c>
      <c r="M23" s="8">
        <f>M5*INSTRUCCIONES!$F3</f>
        <v>279.68944099378882</v>
      </c>
      <c r="N23" s="8">
        <f>N5*INSTRUCCIONES!$F3</f>
        <v>279.68944099378882</v>
      </c>
      <c r="O23" s="5"/>
      <c r="P23" s="5"/>
      <c r="Q23" s="5"/>
      <c r="R23" s="5"/>
      <c r="S23" s="5"/>
      <c r="T23" s="5"/>
      <c r="U23" s="5"/>
      <c r="V23" s="5"/>
      <c r="W23" s="5"/>
      <c r="X23" s="5"/>
      <c r="Y23" s="5"/>
      <c r="Z23" s="5"/>
      <c r="AA23" s="5"/>
      <c r="AB23" s="5"/>
      <c r="AC23" s="5"/>
      <c r="AD23" s="5"/>
      <c r="AE23" s="5"/>
    </row>
    <row r="24" spans="1:38">
      <c r="A24" s="17" t="str">
        <f t="shared" si="47"/>
        <v>Sponsor</v>
      </c>
      <c r="B24" s="8">
        <f>B6*INSTRUCCIONES!$F4</f>
        <v>259.60493827160491</v>
      </c>
      <c r="C24" s="8">
        <f>C6*INSTRUCCIONES!$F4</f>
        <v>278.14814814814815</v>
      </c>
      <c r="D24" s="8">
        <f>D6*INSTRUCCIONES!$F4</f>
        <v>278.14814814814815</v>
      </c>
      <c r="E24" s="8">
        <f>E6*INSTRUCCIONES!$F4</f>
        <v>278.14814814814815</v>
      </c>
      <c r="F24" s="8">
        <f>F6*INSTRUCCIONES!$F4</f>
        <v>278.14814814814815</v>
      </c>
      <c r="G24" s="8">
        <f>G6*INSTRUCCIONES!$F4</f>
        <v>278.14814814814815</v>
      </c>
      <c r="H24" s="8">
        <f>H6*INSTRUCCIONES!$F4</f>
        <v>278.14814814814815</v>
      </c>
      <c r="I24" s="8">
        <f>I6*INSTRUCCIONES!$F4</f>
        <v>278.14814814814815</v>
      </c>
      <c r="J24" s="8">
        <f>J6*INSTRUCCIONES!$F4</f>
        <v>278.14814814814815</v>
      </c>
      <c r="K24" s="8">
        <f>K6*INSTRUCCIONES!$F4</f>
        <v>278.14814814814815</v>
      </c>
      <c r="L24" s="8">
        <f>L6*INSTRUCCIONES!$F4</f>
        <v>278.14814814814815</v>
      </c>
      <c r="M24" s="8">
        <f>M6*INSTRUCCIONES!$F4</f>
        <v>278.14814814814815</v>
      </c>
      <c r="N24" s="8">
        <f>N6*INSTRUCCIONES!$F4</f>
        <v>278.14814814814815</v>
      </c>
      <c r="O24" s="5"/>
      <c r="P24" s="5"/>
      <c r="Q24" s="5"/>
      <c r="R24" s="5"/>
      <c r="S24" s="5"/>
      <c r="T24" s="5"/>
      <c r="U24" s="5"/>
      <c r="V24" s="5"/>
      <c r="W24" s="5"/>
      <c r="X24" s="5"/>
      <c r="Y24" s="5"/>
      <c r="Z24" s="5"/>
      <c r="AA24" s="5"/>
      <c r="AB24" s="5"/>
      <c r="AC24" s="5"/>
      <c r="AD24" s="5"/>
      <c r="AE24" s="5"/>
    </row>
    <row r="25" spans="1:38" ht="15.75" customHeight="1">
      <c r="A25" s="17" t="str">
        <f t="shared" si="47"/>
        <v>Institución Piloto</v>
      </c>
      <c r="B25" s="8">
        <f>B7*INSTRUCCIONES!$F5</f>
        <v>258.18404907975463</v>
      </c>
      <c r="C25" s="8">
        <f>C7*INSTRUCCIONES!$F5</f>
        <v>276.62576687116564</v>
      </c>
      <c r="D25" s="8">
        <f>D7*INSTRUCCIONES!$F5</f>
        <v>276.62576687116564</v>
      </c>
      <c r="E25" s="8">
        <f>E7*INSTRUCCIONES!$F5</f>
        <v>276.62576687116564</v>
      </c>
      <c r="F25" s="8">
        <f>F7*INSTRUCCIONES!$F5</f>
        <v>276.62576687116564</v>
      </c>
      <c r="G25" s="8">
        <f>G7*INSTRUCCIONES!$F5</f>
        <v>276.62576687116564</v>
      </c>
      <c r="H25" s="8">
        <f>H7*INSTRUCCIONES!$F5</f>
        <v>276.62576687116564</v>
      </c>
      <c r="I25" s="8">
        <f>I7*INSTRUCCIONES!$F5</f>
        <v>276.62576687116564</v>
      </c>
      <c r="J25" s="8">
        <f>J7*INSTRUCCIONES!$F5</f>
        <v>276.62576687116564</v>
      </c>
      <c r="K25" s="8">
        <f>K7*INSTRUCCIONES!$F5</f>
        <v>276.62576687116564</v>
      </c>
      <c r="L25" s="8">
        <f>L7*INSTRUCCIONES!$F5</f>
        <v>276.62576687116564</v>
      </c>
      <c r="M25" s="8">
        <f>M7*INSTRUCCIONES!$F5</f>
        <v>276.62576687116564</v>
      </c>
      <c r="N25" s="8">
        <f>N7*INSTRUCCIONES!$F5</f>
        <v>276.62576687116564</v>
      </c>
      <c r="O25" s="5"/>
      <c r="P25" s="5"/>
      <c r="Q25" s="5"/>
      <c r="R25" s="5"/>
      <c r="S25" s="5"/>
      <c r="T25" s="5"/>
      <c r="U25" s="5"/>
      <c r="V25" s="5"/>
      <c r="W25" s="5"/>
      <c r="X25" s="5"/>
      <c r="Y25" s="5"/>
      <c r="Z25" s="5"/>
      <c r="AA25" s="5"/>
      <c r="AB25" s="5"/>
      <c r="AC25" s="5"/>
      <c r="AD25" s="5"/>
      <c r="AE25" s="5"/>
    </row>
    <row r="26" spans="1:38" ht="15.75" customHeight="1">
      <c r="A26" s="17" t="str">
        <f t="shared" si="47"/>
        <v>Product Owner</v>
      </c>
      <c r="B26" s="8">
        <f>B8*INSTRUCCIONES!$F6</f>
        <v>256.78048780487802</v>
      </c>
      <c r="C26" s="8">
        <f>C8*INSTRUCCIONES!$F6</f>
        <v>275.1219512195122</v>
      </c>
      <c r="D26" s="8">
        <f>D8*INSTRUCCIONES!$F6</f>
        <v>275.1219512195122</v>
      </c>
      <c r="E26" s="8">
        <f>E8*INSTRUCCIONES!$F6</f>
        <v>275.1219512195122</v>
      </c>
      <c r="F26" s="8">
        <f>F8*INSTRUCCIONES!$F6</f>
        <v>275.1219512195122</v>
      </c>
      <c r="G26" s="8">
        <f>G8*INSTRUCCIONES!$F6</f>
        <v>275.1219512195122</v>
      </c>
      <c r="H26" s="8">
        <f>H8*INSTRUCCIONES!$F6</f>
        <v>275.1219512195122</v>
      </c>
      <c r="I26" s="8">
        <f>I8*INSTRUCCIONES!$F6</f>
        <v>275.1219512195122</v>
      </c>
      <c r="J26" s="8">
        <f>J8*INSTRUCCIONES!$F6</f>
        <v>275.1219512195122</v>
      </c>
      <c r="K26" s="8">
        <f>K8*INSTRUCCIONES!$F6</f>
        <v>275.1219512195122</v>
      </c>
      <c r="L26" s="8">
        <f>L8*INSTRUCCIONES!$F6</f>
        <v>275.1219512195122</v>
      </c>
      <c r="M26" s="8">
        <f>M8*INSTRUCCIONES!$F6</f>
        <v>275.1219512195122</v>
      </c>
      <c r="N26" s="8">
        <f>N8*INSTRUCCIONES!$F6</f>
        <v>275.1219512195122</v>
      </c>
      <c r="O26" s="5"/>
      <c r="P26" s="5"/>
      <c r="Q26" s="5"/>
      <c r="R26" s="5"/>
      <c r="S26" s="5"/>
      <c r="T26" s="5"/>
      <c r="U26" s="5"/>
      <c r="V26" s="5"/>
      <c r="W26" s="5"/>
      <c r="X26" s="5"/>
      <c r="Y26" s="5"/>
      <c r="Z26" s="5"/>
      <c r="AA26" s="5"/>
      <c r="AB26" s="5"/>
      <c r="AC26" s="5"/>
      <c r="AD26" s="5"/>
      <c r="AE26" s="5"/>
    </row>
    <row r="27" spans="1:38" ht="15.75" customHeight="1">
      <c r="A27" s="17" t="str">
        <f t="shared" si="47"/>
        <v>Finanzas</v>
      </c>
      <c r="B27" s="8">
        <f>B9*INSTRUCCIONES!$F7</f>
        <v>255.39393939393938</v>
      </c>
      <c r="C27" s="8">
        <f>C9*INSTRUCCIONES!$F7</f>
        <v>273.63636363636363</v>
      </c>
      <c r="D27" s="8">
        <f>D9*INSTRUCCIONES!$F7</f>
        <v>273.63636363636363</v>
      </c>
      <c r="E27" s="8">
        <f>E9*INSTRUCCIONES!$F7</f>
        <v>273.63636363636363</v>
      </c>
      <c r="F27" s="8">
        <f>F9*INSTRUCCIONES!$F7</f>
        <v>273.63636363636363</v>
      </c>
      <c r="G27" s="8">
        <f>G9*INSTRUCCIONES!$F7</f>
        <v>273.63636363636363</v>
      </c>
      <c r="H27" s="8">
        <f>H9*INSTRUCCIONES!$F7</f>
        <v>273.63636363636363</v>
      </c>
      <c r="I27" s="8">
        <f>I9*INSTRUCCIONES!$F7</f>
        <v>273.63636363636363</v>
      </c>
      <c r="J27" s="8">
        <f>J9*INSTRUCCIONES!$F7</f>
        <v>273.63636363636363</v>
      </c>
      <c r="K27" s="8">
        <f>K9*INSTRUCCIONES!$F7</f>
        <v>273.63636363636363</v>
      </c>
      <c r="L27" s="8">
        <f>L9*INSTRUCCIONES!$F7</f>
        <v>273.63636363636363</v>
      </c>
      <c r="M27" s="8">
        <f>M9*INSTRUCCIONES!$F7</f>
        <v>273.63636363636363</v>
      </c>
      <c r="N27" s="8">
        <f>N9*INSTRUCCIONES!$F7</f>
        <v>273.63636363636363</v>
      </c>
      <c r="O27" s="5"/>
      <c r="P27" s="5"/>
      <c r="Q27" s="5"/>
      <c r="R27" s="5"/>
      <c r="S27" s="5"/>
      <c r="T27" s="5"/>
      <c r="U27" s="5"/>
      <c r="V27" s="5"/>
      <c r="W27" s="5"/>
      <c r="X27" s="5"/>
      <c r="Y27" s="5"/>
      <c r="Z27" s="5"/>
      <c r="AA27" s="5"/>
      <c r="AB27" s="5"/>
      <c r="AC27" s="5"/>
      <c r="AD27" s="5"/>
      <c r="AE27" s="5"/>
    </row>
    <row r="28" spans="1:38" ht="15.75" customHeight="1">
      <c r="A28" s="17" t="str">
        <f t="shared" si="47"/>
        <v>Arquitecto de Software</v>
      </c>
      <c r="B28" s="8">
        <f>B10*INSTRUCCIONES!$F8</f>
        <v>254.02409638554215</v>
      </c>
      <c r="C28" s="8">
        <f>C10*INSTRUCCIONES!$F8</f>
        <v>272.16867469879514</v>
      </c>
      <c r="D28" s="8">
        <f>D10*INSTRUCCIONES!$F8</f>
        <v>272.16867469879514</v>
      </c>
      <c r="E28" s="8">
        <f>E10*INSTRUCCIONES!$F8</f>
        <v>272.16867469879514</v>
      </c>
      <c r="F28" s="8">
        <f>F10*INSTRUCCIONES!$F8</f>
        <v>272.16867469879514</v>
      </c>
      <c r="G28" s="8">
        <f>G10*INSTRUCCIONES!$F8</f>
        <v>272.16867469879514</v>
      </c>
      <c r="H28" s="8">
        <f>H10*INSTRUCCIONES!$F8</f>
        <v>272.16867469879514</v>
      </c>
      <c r="I28" s="8">
        <f>I10*INSTRUCCIONES!$F8</f>
        <v>272.16867469879514</v>
      </c>
      <c r="J28" s="8">
        <f>J10*INSTRUCCIONES!$F8</f>
        <v>272.16867469879514</v>
      </c>
      <c r="K28" s="8">
        <f>K10*INSTRUCCIONES!$F8</f>
        <v>272.16867469879514</v>
      </c>
      <c r="L28" s="8">
        <f>L10*INSTRUCCIONES!$F8</f>
        <v>272.16867469879514</v>
      </c>
      <c r="M28" s="8">
        <f>M10*INSTRUCCIONES!$F8</f>
        <v>272.16867469879514</v>
      </c>
      <c r="N28" s="8">
        <f>N10*INSTRUCCIONES!$F8</f>
        <v>272.16867469879514</v>
      </c>
      <c r="O28" s="5"/>
      <c r="P28" s="5"/>
      <c r="Q28" s="5"/>
      <c r="R28" s="5"/>
      <c r="S28" s="5"/>
      <c r="T28" s="5"/>
      <c r="U28" s="5"/>
      <c r="V28" s="5"/>
      <c r="W28" s="5"/>
      <c r="X28" s="5"/>
      <c r="Y28" s="5"/>
      <c r="Z28" s="5"/>
      <c r="AA28" s="5"/>
      <c r="AB28" s="5"/>
      <c r="AC28" s="5"/>
      <c r="AD28" s="5"/>
      <c r="AE28" s="5"/>
    </row>
    <row r="29" spans="1:38" ht="15.75" customHeight="1">
      <c r="A29" s="17" t="str">
        <f t="shared" si="47"/>
        <v>DevOps</v>
      </c>
      <c r="B29" s="8">
        <f>B11*INSTRUCCIONES!$F9</f>
        <v>252.67065868263472</v>
      </c>
      <c r="C29" s="8">
        <f>C11*INSTRUCCIONES!$F9</f>
        <v>270.71856287425146</v>
      </c>
      <c r="D29" s="8">
        <f>D11*INSTRUCCIONES!$F9</f>
        <v>270.71856287425146</v>
      </c>
      <c r="E29" s="8">
        <f>E11*INSTRUCCIONES!$F9</f>
        <v>270.71856287425146</v>
      </c>
      <c r="F29" s="8">
        <f>F11*INSTRUCCIONES!$F9</f>
        <v>270.71856287425146</v>
      </c>
      <c r="G29" s="8">
        <f>G11*INSTRUCCIONES!$F9</f>
        <v>270.71856287425146</v>
      </c>
      <c r="H29" s="8">
        <f>H11*INSTRUCCIONES!$F9</f>
        <v>270.71856287425146</v>
      </c>
      <c r="I29" s="8">
        <f>I11*INSTRUCCIONES!$F9</f>
        <v>270.71856287425146</v>
      </c>
      <c r="J29" s="8">
        <f>J11*INSTRUCCIONES!$F9</f>
        <v>270.71856287425146</v>
      </c>
      <c r="K29" s="8">
        <f>K11*INSTRUCCIONES!$F9</f>
        <v>270.71856287425146</v>
      </c>
      <c r="L29" s="8">
        <f>L11*INSTRUCCIONES!$F9</f>
        <v>270.71856287425146</v>
      </c>
      <c r="M29" s="8">
        <f>M11*INSTRUCCIONES!$F9</f>
        <v>270.71856287425146</v>
      </c>
      <c r="N29" s="8">
        <f>N11*INSTRUCCIONES!$F9</f>
        <v>270.71856287425146</v>
      </c>
      <c r="O29" s="5"/>
      <c r="P29" s="5"/>
      <c r="Q29" s="5"/>
      <c r="R29" s="5"/>
      <c r="S29" s="5"/>
      <c r="T29" s="5"/>
      <c r="U29" s="5"/>
      <c r="V29" s="5"/>
      <c r="W29" s="5"/>
      <c r="X29" s="5"/>
      <c r="Y29" s="5"/>
      <c r="Z29" s="5"/>
      <c r="AA29" s="5"/>
      <c r="AB29" s="5"/>
      <c r="AC29" s="5"/>
      <c r="AD29" s="5"/>
      <c r="AE29" s="5"/>
    </row>
    <row r="30" spans="1:38" ht="15.75" customHeight="1">
      <c r="A30" s="17" t="str">
        <f t="shared" si="47"/>
        <v>Responsable de Seguridad</v>
      </c>
      <c r="B30" s="8">
        <f>B12*INSTRUCCIONES!$F10</f>
        <v>251.33333333333334</v>
      </c>
      <c r="C30" s="8">
        <f>C12*INSTRUCCIONES!$F10</f>
        <v>269.28571428571428</v>
      </c>
      <c r="D30" s="8">
        <f>D12*INSTRUCCIONES!$F10</f>
        <v>269.28571428571428</v>
      </c>
      <c r="E30" s="8">
        <f>E12*INSTRUCCIONES!$F10</f>
        <v>269.28571428571428</v>
      </c>
      <c r="F30" s="8">
        <f>F12*INSTRUCCIONES!$F10</f>
        <v>269.28571428571428</v>
      </c>
      <c r="G30" s="8">
        <f>G12*INSTRUCCIONES!$F10</f>
        <v>269.28571428571428</v>
      </c>
      <c r="H30" s="8">
        <f>H12*INSTRUCCIONES!$F10</f>
        <v>269.28571428571428</v>
      </c>
      <c r="I30" s="8">
        <f>I12*INSTRUCCIONES!$F10</f>
        <v>269.28571428571428</v>
      </c>
      <c r="J30" s="8">
        <f>J12*INSTRUCCIONES!$F10</f>
        <v>269.28571428571428</v>
      </c>
      <c r="K30" s="8">
        <f>K12*INSTRUCCIONES!$F10</f>
        <v>269.28571428571428</v>
      </c>
      <c r="L30" s="8">
        <f>L12*INSTRUCCIONES!$F10</f>
        <v>269.28571428571428</v>
      </c>
      <c r="M30" s="8">
        <f>M12*INSTRUCCIONES!$F10</f>
        <v>269.28571428571428</v>
      </c>
      <c r="N30" s="8">
        <f>N12*INSTRUCCIONES!$F10</f>
        <v>269.28571428571428</v>
      </c>
      <c r="O30" s="5"/>
      <c r="P30" s="5"/>
      <c r="Q30" s="5"/>
      <c r="R30" s="5"/>
      <c r="S30" s="5"/>
      <c r="T30" s="5"/>
      <c r="U30" s="5"/>
      <c r="V30" s="5"/>
      <c r="W30" s="5"/>
      <c r="X30" s="5"/>
      <c r="Y30" s="5"/>
      <c r="Z30" s="5"/>
      <c r="AA30" s="5"/>
      <c r="AB30" s="5"/>
      <c r="AC30" s="5"/>
      <c r="AD30" s="5"/>
      <c r="AE30" s="5"/>
    </row>
    <row r="31" spans="1:38" ht="15.75" customHeight="1">
      <c r="A31" s="17" t="str">
        <f t="shared" si="47"/>
        <v>Arquitecto de Base de Datos</v>
      </c>
      <c r="B31" s="8">
        <f>B13*INSTRUCCIONES!$F11</f>
        <v>157.5</v>
      </c>
      <c r="C31" s="8">
        <f>C13*INSTRUCCIONES!$F11</f>
        <v>168.75</v>
      </c>
      <c r="D31" s="8">
        <f>D13*INSTRUCCIONES!$F11</f>
        <v>168.75</v>
      </c>
      <c r="E31" s="8">
        <f>E13*INSTRUCCIONES!$F11</f>
        <v>168.75</v>
      </c>
      <c r="F31" s="8">
        <f>F13*INSTRUCCIONES!$F11</f>
        <v>168.75</v>
      </c>
      <c r="G31" s="8">
        <f>G13*INSTRUCCIONES!$F11</f>
        <v>168.75</v>
      </c>
      <c r="H31" s="8">
        <f>H13*INSTRUCCIONES!$F11</f>
        <v>168.75</v>
      </c>
      <c r="I31" s="8">
        <f>I13*INSTRUCCIONES!$F11</f>
        <v>168.75</v>
      </c>
      <c r="J31" s="8">
        <f>J13*INSTRUCCIONES!$F11</f>
        <v>168.75</v>
      </c>
      <c r="K31" s="8">
        <f>K13*INSTRUCCIONES!$F11</f>
        <v>168.75</v>
      </c>
      <c r="L31" s="8">
        <f>L13*INSTRUCCIONES!$F11</f>
        <v>168.75</v>
      </c>
      <c r="M31" s="8">
        <f>M13*INSTRUCCIONES!$F11</f>
        <v>168.75</v>
      </c>
      <c r="N31" s="8">
        <f>N13*INSTRUCCIONES!$F11</f>
        <v>168.75</v>
      </c>
      <c r="O31" s="5"/>
      <c r="W31" s="5"/>
      <c r="X31" s="5"/>
      <c r="Y31" s="5"/>
      <c r="Z31" s="5"/>
      <c r="AA31" s="5"/>
      <c r="AB31" s="5"/>
      <c r="AC31" s="5"/>
      <c r="AD31" s="5"/>
      <c r="AE31" s="5"/>
    </row>
    <row r="32" spans="1:38" ht="15.75" customHeight="1">
      <c r="A32" s="17" t="str">
        <f t="shared" si="47"/>
        <v>Desarrollador Backend</v>
      </c>
      <c r="B32" s="8">
        <f>B14*INSTRUCCIONES!$F12</f>
        <v>105</v>
      </c>
      <c r="C32" s="8">
        <f>C14*INSTRUCCIONES!$F12</f>
        <v>112.5</v>
      </c>
      <c r="D32" s="8">
        <f>D14*INSTRUCCIONES!$F12</f>
        <v>112.5</v>
      </c>
      <c r="E32" s="8">
        <f>E14*INSTRUCCIONES!$F12</f>
        <v>112.5</v>
      </c>
      <c r="F32" s="8">
        <f>F14*INSTRUCCIONES!$F12</f>
        <v>112.5</v>
      </c>
      <c r="G32" s="8">
        <f>G14*INSTRUCCIONES!$F12</f>
        <v>112.5</v>
      </c>
      <c r="H32" s="8">
        <f>H14*INSTRUCCIONES!$F12</f>
        <v>112.5</v>
      </c>
      <c r="I32" s="8">
        <f>I14*INSTRUCCIONES!$F12</f>
        <v>112.5</v>
      </c>
      <c r="J32" s="8">
        <f>J14*INSTRUCCIONES!$F12</f>
        <v>112.5</v>
      </c>
      <c r="K32" s="8">
        <f>K14*INSTRUCCIONES!$F12</f>
        <v>112.5</v>
      </c>
      <c r="L32" s="8">
        <f>L14*INSTRUCCIONES!$F12</f>
        <v>112.5</v>
      </c>
      <c r="M32" s="8">
        <f>M14*INSTRUCCIONES!$F12</f>
        <v>112.5</v>
      </c>
      <c r="N32" s="8">
        <f>N14*INSTRUCCIONES!$F12</f>
        <v>112.5</v>
      </c>
      <c r="O32" s="5"/>
      <c r="W32" s="5"/>
      <c r="X32" s="5"/>
      <c r="Y32" s="5"/>
      <c r="Z32" s="5"/>
      <c r="AA32" s="5"/>
      <c r="AB32" s="5"/>
      <c r="AC32" s="5"/>
      <c r="AD32" s="5"/>
      <c r="AE32" s="5"/>
    </row>
    <row r="33" spans="1:38" ht="15.75" customHeight="1">
      <c r="A33" s="17" t="str">
        <f t="shared" si="47"/>
        <v>Desarrollador Frontend</v>
      </c>
      <c r="B33" s="8">
        <f>B15*INSTRUCCIONES!$F13</f>
        <v>87.5</v>
      </c>
      <c r="C33" s="8">
        <f>C15*INSTRUCCIONES!$F13</f>
        <v>93.75</v>
      </c>
      <c r="D33" s="8">
        <f>D15*INSTRUCCIONES!$F13</f>
        <v>93.75</v>
      </c>
      <c r="E33" s="8">
        <f>E15*INSTRUCCIONES!$F13</f>
        <v>93.75</v>
      </c>
      <c r="F33" s="8">
        <f>F15*INSTRUCCIONES!$F13</f>
        <v>93.75</v>
      </c>
      <c r="G33" s="8">
        <f>G15*INSTRUCCIONES!$F13</f>
        <v>93.75</v>
      </c>
      <c r="H33" s="8">
        <f>H15*INSTRUCCIONES!$F13</f>
        <v>93.75</v>
      </c>
      <c r="I33" s="8">
        <f>I15*INSTRUCCIONES!$F13</f>
        <v>93.75</v>
      </c>
      <c r="J33" s="8">
        <f>J15*INSTRUCCIONES!$F13</f>
        <v>93.75</v>
      </c>
      <c r="K33" s="8">
        <f>K15*INSTRUCCIONES!$F13</f>
        <v>93.75</v>
      </c>
      <c r="L33" s="8">
        <f>L15*INSTRUCCIONES!$F13</f>
        <v>93.75</v>
      </c>
      <c r="M33" s="8">
        <f>M15*INSTRUCCIONES!$F13</f>
        <v>93.75</v>
      </c>
      <c r="N33" s="8">
        <f>N15*INSTRUCCIONES!$F13</f>
        <v>93.75</v>
      </c>
      <c r="O33" s="15"/>
      <c r="W33" s="15"/>
      <c r="X33" s="15"/>
      <c r="Y33" s="15"/>
      <c r="Z33" s="15"/>
      <c r="AA33" s="15"/>
      <c r="AB33" s="15"/>
      <c r="AC33" s="15"/>
      <c r="AD33" s="15"/>
      <c r="AE33" s="15"/>
    </row>
    <row r="34" spans="1:38" ht="15.75" customHeight="1">
      <c r="A34" s="17" t="str">
        <f t="shared" si="47"/>
        <v>QA Consultant</v>
      </c>
      <c r="B34" s="8">
        <f>B16*INSTRUCCIONES!$F14</f>
        <v>87.5</v>
      </c>
      <c r="C34" s="8">
        <f>C16*INSTRUCCIONES!$F14</f>
        <v>93.75</v>
      </c>
      <c r="D34" s="8">
        <f>D16*INSTRUCCIONES!$F14</f>
        <v>93.75</v>
      </c>
      <c r="E34" s="8">
        <f>E16*INSTRUCCIONES!$F14</f>
        <v>93.75</v>
      </c>
      <c r="F34" s="8">
        <f>F16*INSTRUCCIONES!$F14</f>
        <v>93.75</v>
      </c>
      <c r="G34" s="8">
        <f>G16*INSTRUCCIONES!$F14</f>
        <v>93.75</v>
      </c>
      <c r="H34" s="8">
        <f>H16*INSTRUCCIONES!$F14</f>
        <v>93.75</v>
      </c>
      <c r="I34" s="8">
        <f>I16*INSTRUCCIONES!$F14</f>
        <v>93.75</v>
      </c>
      <c r="J34" s="8">
        <f>J16*INSTRUCCIONES!$F14</f>
        <v>93.75</v>
      </c>
      <c r="K34" s="8">
        <f>K16*INSTRUCCIONES!$F14</f>
        <v>93.75</v>
      </c>
      <c r="L34" s="8">
        <f>L16*INSTRUCCIONES!$F14</f>
        <v>93.75</v>
      </c>
      <c r="M34" s="8">
        <f>M16*INSTRUCCIONES!$F14</f>
        <v>93.75</v>
      </c>
      <c r="N34" s="8">
        <f>N16*INSTRUCCIONES!$F14</f>
        <v>93.75</v>
      </c>
      <c r="O34" s="5"/>
      <c r="P34" s="139" t="s">
        <v>21</v>
      </c>
      <c r="Q34" s="139"/>
      <c r="R34" s="139"/>
      <c r="S34" s="139"/>
      <c r="T34" s="139"/>
      <c r="U34" s="139"/>
      <c r="V34" s="139"/>
      <c r="W34" s="139"/>
      <c r="X34" s="139"/>
      <c r="Y34" s="139"/>
      <c r="Z34" s="139"/>
      <c r="AA34" s="139"/>
      <c r="AB34" s="139"/>
      <c r="AC34" s="139"/>
      <c r="AD34" s="5"/>
      <c r="AE34" s="5"/>
    </row>
    <row r="35" spans="1:38" ht="15.75" customHeight="1">
      <c r="A35" s="17" t="str">
        <f t="shared" si="47"/>
        <v>Soporte</v>
      </c>
      <c r="B35" s="8">
        <f>B17*INSTRUCCIONES!$F15</f>
        <v>87.5</v>
      </c>
      <c r="C35" s="8">
        <f>C17*INSTRUCCIONES!$F15</f>
        <v>93.75</v>
      </c>
      <c r="D35" s="8">
        <f>D17*INSTRUCCIONES!$F15</f>
        <v>93.75</v>
      </c>
      <c r="E35" s="8">
        <f>E17*INSTRUCCIONES!$F15</f>
        <v>93.75</v>
      </c>
      <c r="F35" s="8">
        <f>F17*INSTRUCCIONES!$F15</f>
        <v>93.75</v>
      </c>
      <c r="G35" s="8">
        <f>G17*INSTRUCCIONES!$F15</f>
        <v>93.75</v>
      </c>
      <c r="H35" s="8">
        <f>H17*INSTRUCCIONES!$F15</f>
        <v>93.75</v>
      </c>
      <c r="I35" s="8">
        <f>I17*INSTRUCCIONES!$F15</f>
        <v>93.75</v>
      </c>
      <c r="J35" s="8">
        <f>J17*INSTRUCCIONES!$F15</f>
        <v>93.75</v>
      </c>
      <c r="K35" s="8">
        <f>K17*INSTRUCCIONES!$F15</f>
        <v>93.75</v>
      </c>
      <c r="L35" s="8">
        <f>L17*INSTRUCCIONES!$F15</f>
        <v>93.75</v>
      </c>
      <c r="M35" s="8">
        <f>M17*INSTRUCCIONES!$F15</f>
        <v>93.75</v>
      </c>
      <c r="N35" s="8">
        <f>N17*INSTRUCCIONES!$F15</f>
        <v>93.75</v>
      </c>
      <c r="O35" s="5"/>
      <c r="P35" s="137" t="s">
        <v>16</v>
      </c>
      <c r="Q35" s="138">
        <f>Q3</f>
        <v>46113</v>
      </c>
      <c r="R35" s="138">
        <f>R3</f>
        <v>46144</v>
      </c>
      <c r="S35" s="138">
        <f>S3</f>
        <v>46175</v>
      </c>
      <c r="T35" s="138">
        <f>T3</f>
        <v>46206</v>
      </c>
      <c r="U35" s="138">
        <f>U3</f>
        <v>46237</v>
      </c>
      <c r="V35" s="138">
        <f>V3</f>
        <v>46268</v>
      </c>
      <c r="W35" s="138">
        <f>W3</f>
        <v>46299</v>
      </c>
      <c r="X35" s="138">
        <f>X3</f>
        <v>46330</v>
      </c>
      <c r="Y35" s="138">
        <f>Y3</f>
        <v>46361</v>
      </c>
      <c r="Z35" s="138">
        <f>Z3</f>
        <v>46392</v>
      </c>
      <c r="AA35" s="138">
        <f>AA3</f>
        <v>46423</v>
      </c>
      <c r="AB35" s="138">
        <f>AB3</f>
        <v>46454</v>
      </c>
      <c r="AC35" s="138">
        <f>AC3</f>
        <v>46485</v>
      </c>
      <c r="AD35" s="5"/>
      <c r="AE35" s="5"/>
    </row>
    <row r="36" spans="1:38" ht="15.75" customHeight="1">
      <c r="A36" s="24" t="s">
        <v>19</v>
      </c>
      <c r="B36" s="25">
        <f>SUM(B22:B35)</f>
        <v>2836.5349812125569</v>
      </c>
      <c r="C36" s="25">
        <f>SUM(C22:C35)</f>
        <v>3039.1446227277393</v>
      </c>
      <c r="D36" s="25">
        <f t="shared" ref="D36:N36" si="48">SUM(D22:D35)</f>
        <v>3039.1446227277393</v>
      </c>
      <c r="E36" s="25">
        <f t="shared" si="48"/>
        <v>3039.1446227277393</v>
      </c>
      <c r="F36" s="25">
        <f t="shared" si="48"/>
        <v>3039.1446227277393</v>
      </c>
      <c r="G36" s="25">
        <f t="shared" si="48"/>
        <v>3039.1446227277393</v>
      </c>
      <c r="H36" s="25">
        <f t="shared" si="48"/>
        <v>3039.1446227277393</v>
      </c>
      <c r="I36" s="25">
        <f t="shared" si="48"/>
        <v>3039.1446227277393</v>
      </c>
      <c r="J36" s="25">
        <f t="shared" si="48"/>
        <v>3039.1446227277393</v>
      </c>
      <c r="K36" s="25">
        <f t="shared" si="48"/>
        <v>3039.1446227277393</v>
      </c>
      <c r="L36" s="25">
        <f t="shared" si="48"/>
        <v>3039.1446227277393</v>
      </c>
      <c r="M36" s="25">
        <f t="shared" si="48"/>
        <v>3039.1446227277393</v>
      </c>
      <c r="N36" s="25">
        <f t="shared" si="48"/>
        <v>3039.1446227277393</v>
      </c>
      <c r="O36" s="5"/>
      <c r="P36" s="17" t="str">
        <f>A22</f>
        <v>Project Manager</v>
      </c>
      <c r="Q36" s="28">
        <f>Q4*B$41</f>
        <v>105</v>
      </c>
      <c r="R36" s="28">
        <f>R4*C$41</f>
        <v>112.5</v>
      </c>
      <c r="S36" s="28">
        <f>S4*D$41</f>
        <v>112.5</v>
      </c>
      <c r="T36" s="28">
        <f>T4*E$41</f>
        <v>112.5</v>
      </c>
      <c r="U36" s="28">
        <f>U4*F$41</f>
        <v>112.5</v>
      </c>
      <c r="V36" s="28">
        <f>V4*G$41</f>
        <v>112.5</v>
      </c>
      <c r="W36" s="28">
        <f>W4*H$41</f>
        <v>112.5</v>
      </c>
      <c r="X36" s="28">
        <f>X4*I$41</f>
        <v>112.5</v>
      </c>
      <c r="Y36" s="28">
        <f>Y4*J$41</f>
        <v>112.5</v>
      </c>
      <c r="Z36" s="28">
        <f>Z4*K$41</f>
        <v>112.5</v>
      </c>
      <c r="AA36" s="28">
        <f>AA4*L$41</f>
        <v>112.5</v>
      </c>
      <c r="AB36" s="28">
        <f>AB4*M$41</f>
        <v>112.5</v>
      </c>
      <c r="AC36" s="28">
        <f>AC4*N$41</f>
        <v>112.5</v>
      </c>
      <c r="AD36" s="5"/>
      <c r="AE36" s="5"/>
    </row>
    <row r="37" spans="1:38" ht="15.75" customHeight="1">
      <c r="A37" s="5"/>
      <c r="B37" s="5"/>
      <c r="C37" s="5"/>
      <c r="D37" s="5"/>
      <c r="E37" s="5"/>
      <c r="F37" s="5"/>
      <c r="G37" s="5"/>
      <c r="H37" s="5"/>
      <c r="P37" s="17" t="str">
        <f>A23</f>
        <v>Analista Funcional</v>
      </c>
      <c r="Q37" s="28">
        <f>Q5*B$41</f>
        <v>0</v>
      </c>
      <c r="R37" s="28">
        <f>R5*C$41</f>
        <v>0</v>
      </c>
      <c r="S37" s="28">
        <f>S5*D$41</f>
        <v>0</v>
      </c>
      <c r="T37" s="28">
        <f>T5*E$41</f>
        <v>0</v>
      </c>
      <c r="U37" s="28">
        <f>U5*F$41</f>
        <v>0</v>
      </c>
      <c r="V37" s="28">
        <f>V5*G$41</f>
        <v>0</v>
      </c>
      <c r="W37" s="28">
        <f>W5*H$41</f>
        <v>0</v>
      </c>
      <c r="X37" s="28">
        <f>X5*I$41</f>
        <v>0</v>
      </c>
      <c r="Y37" s="28">
        <f>Y5*J$41</f>
        <v>0</v>
      </c>
      <c r="Z37" s="28">
        <f>Z5*K$41</f>
        <v>0</v>
      </c>
      <c r="AA37" s="28">
        <f>AA5*L$41</f>
        <v>0</v>
      </c>
      <c r="AB37" s="28">
        <f>AB5*M$41</f>
        <v>0</v>
      </c>
      <c r="AC37" s="28">
        <f>AC5*N$41</f>
        <v>0</v>
      </c>
    </row>
    <row r="38" spans="1:38" ht="15.75" customHeight="1">
      <c r="A38" s="130" t="s">
        <v>20</v>
      </c>
      <c r="B38" s="108"/>
      <c r="C38" s="108"/>
      <c r="D38" s="108"/>
      <c r="E38" s="108"/>
      <c r="F38" s="108"/>
      <c r="G38" s="108"/>
      <c r="H38" s="5"/>
      <c r="P38" s="17" t="str">
        <f>A24</f>
        <v>Sponsor</v>
      </c>
      <c r="Q38" s="28">
        <f>Q6*B$41</f>
        <v>0</v>
      </c>
      <c r="R38" s="28">
        <f>R6*C$41</f>
        <v>0</v>
      </c>
      <c r="S38" s="28">
        <f>S6*D$41</f>
        <v>0</v>
      </c>
      <c r="T38" s="28">
        <f>T6*E$41</f>
        <v>0</v>
      </c>
      <c r="U38" s="28">
        <f>U6*F$41</f>
        <v>0</v>
      </c>
      <c r="V38" s="28">
        <f>V6*G$41</f>
        <v>0</v>
      </c>
      <c r="W38" s="28">
        <f>W6*H$41</f>
        <v>0</v>
      </c>
      <c r="X38" s="28">
        <f>X6*I$41</f>
        <v>0</v>
      </c>
      <c r="Y38" s="28">
        <f>Y6*J$41</f>
        <v>0</v>
      </c>
      <c r="Z38" s="28">
        <f>Z6*K$41</f>
        <v>0</v>
      </c>
      <c r="AA38" s="28">
        <f>AA6*L$41</f>
        <v>0</v>
      </c>
      <c r="AB38" s="28">
        <f>AB6*M$41</f>
        <v>0</v>
      </c>
      <c r="AC38" s="28">
        <f>AC6*N$41</f>
        <v>0</v>
      </c>
      <c r="AD38" s="5"/>
      <c r="AE38" s="5"/>
    </row>
    <row r="39" spans="1:38" ht="15.75" customHeight="1">
      <c r="A39" s="26"/>
      <c r="B39" s="14">
        <f>B21</f>
        <v>46113</v>
      </c>
      <c r="C39" s="14">
        <f>C21</f>
        <v>46144</v>
      </c>
      <c r="D39" s="14">
        <f t="shared" ref="D39:N39" si="49">D21</f>
        <v>46175</v>
      </c>
      <c r="E39" s="14">
        <f t="shared" si="49"/>
        <v>46206</v>
      </c>
      <c r="F39" s="14">
        <f t="shared" si="49"/>
        <v>46237</v>
      </c>
      <c r="G39" s="14">
        <f t="shared" si="49"/>
        <v>46268</v>
      </c>
      <c r="H39" s="14">
        <f t="shared" si="49"/>
        <v>46299</v>
      </c>
      <c r="I39" s="14">
        <f t="shared" si="49"/>
        <v>46330</v>
      </c>
      <c r="J39" s="14">
        <f t="shared" si="49"/>
        <v>46361</v>
      </c>
      <c r="K39" s="14">
        <f t="shared" si="49"/>
        <v>46392</v>
      </c>
      <c r="L39" s="14">
        <f t="shared" si="49"/>
        <v>46423</v>
      </c>
      <c r="M39" s="14">
        <f t="shared" si="49"/>
        <v>46454</v>
      </c>
      <c r="N39" s="14">
        <f t="shared" si="49"/>
        <v>46485</v>
      </c>
      <c r="O39" s="5"/>
      <c r="P39" s="17" t="str">
        <f>A25</f>
        <v>Institución Piloto</v>
      </c>
      <c r="Q39" s="28">
        <f>Q7*B$41</f>
        <v>0</v>
      </c>
      <c r="R39" s="28">
        <f>R7*C$41</f>
        <v>0</v>
      </c>
      <c r="S39" s="28">
        <f>S7*D$41</f>
        <v>0</v>
      </c>
      <c r="T39" s="28">
        <f>T7*E$41</f>
        <v>0</v>
      </c>
      <c r="U39" s="28">
        <f>U7*F$41</f>
        <v>0</v>
      </c>
      <c r="V39" s="28">
        <f>V7*G$41</f>
        <v>0</v>
      </c>
      <c r="W39" s="28">
        <f>W7*H$41</f>
        <v>0</v>
      </c>
      <c r="X39" s="28">
        <f>X7*I$41</f>
        <v>0</v>
      </c>
      <c r="Y39" s="28">
        <f>Y7*J$41</f>
        <v>0</v>
      </c>
      <c r="Z39" s="28">
        <f>Z7*K$41</f>
        <v>0</v>
      </c>
      <c r="AA39" s="28">
        <f>AA7*L$41</f>
        <v>0</v>
      </c>
      <c r="AB39" s="28">
        <f>AB7*M$41</f>
        <v>0</v>
      </c>
      <c r="AC39" s="28">
        <f>AC7*N$41</f>
        <v>0</v>
      </c>
      <c r="AK39" s="5"/>
      <c r="AL39" s="5"/>
    </row>
    <row r="40" spans="1:38">
      <c r="A40" s="27" t="s">
        <v>22</v>
      </c>
      <c r="B40" s="10">
        <f>B18*40%</f>
        <v>156.80000000000001</v>
      </c>
      <c r="C40" s="10">
        <f>C18*40%</f>
        <v>168</v>
      </c>
      <c r="D40" s="10">
        <f t="shared" ref="D40:N40" si="50">D18*40%</f>
        <v>168</v>
      </c>
      <c r="E40" s="10">
        <f t="shared" si="50"/>
        <v>168</v>
      </c>
      <c r="F40" s="10">
        <f t="shared" si="50"/>
        <v>168</v>
      </c>
      <c r="G40" s="10">
        <f t="shared" si="50"/>
        <v>168</v>
      </c>
      <c r="H40" s="10">
        <f t="shared" si="50"/>
        <v>168</v>
      </c>
      <c r="I40" s="10">
        <f t="shared" si="50"/>
        <v>168</v>
      </c>
      <c r="J40" s="10">
        <f t="shared" si="50"/>
        <v>168</v>
      </c>
      <c r="K40" s="10">
        <f t="shared" si="50"/>
        <v>168</v>
      </c>
      <c r="L40" s="10">
        <f t="shared" si="50"/>
        <v>168</v>
      </c>
      <c r="M40" s="10">
        <f t="shared" si="50"/>
        <v>168</v>
      </c>
      <c r="N40" s="10">
        <f t="shared" si="50"/>
        <v>168</v>
      </c>
      <c r="O40" s="5"/>
      <c r="P40" s="17" t="str">
        <f>A26</f>
        <v>Product Owner</v>
      </c>
      <c r="Q40" s="28">
        <f>Q8*B$41</f>
        <v>105</v>
      </c>
      <c r="R40" s="28">
        <f>R8*C$41</f>
        <v>112.5</v>
      </c>
      <c r="S40" s="28">
        <f>S8*D$41</f>
        <v>112.5</v>
      </c>
      <c r="T40" s="28">
        <f>T8*E$41</f>
        <v>112.5</v>
      </c>
      <c r="U40" s="28">
        <f>U8*F$41</f>
        <v>112.5</v>
      </c>
      <c r="V40" s="28">
        <f>V8*G$41</f>
        <v>112.5</v>
      </c>
      <c r="W40" s="28">
        <f>W8*H$41</f>
        <v>112.5</v>
      </c>
      <c r="X40" s="28">
        <f>X8*I$41</f>
        <v>112.5</v>
      </c>
      <c r="Y40" s="28">
        <f>Y8*J$41</f>
        <v>112.5</v>
      </c>
      <c r="Z40" s="28">
        <f>Z8*K$41</f>
        <v>112.5</v>
      </c>
      <c r="AA40" s="28">
        <f>AA8*L$41</f>
        <v>112.5</v>
      </c>
      <c r="AB40" s="28">
        <f>AB8*M$41</f>
        <v>112.5</v>
      </c>
      <c r="AC40" s="28">
        <f>AC8*N$41</f>
        <v>112.5</v>
      </c>
      <c r="AK40" s="5"/>
      <c r="AL40" s="5"/>
    </row>
    <row r="41" spans="1:38" ht="15.75" customHeight="1">
      <c r="A41" s="24" t="s">
        <v>23</v>
      </c>
      <c r="B41" s="25">
        <f>B40*INSTRUCCIONES!$F$2</f>
        <v>1470</v>
      </c>
      <c r="C41" s="25">
        <f>C40*INSTRUCCIONES!$F$2</f>
        <v>1575</v>
      </c>
      <c r="D41" s="25">
        <f>D40*INSTRUCCIONES!$F$2</f>
        <v>1575</v>
      </c>
      <c r="E41" s="25">
        <f>E40*INSTRUCCIONES!$F$2</f>
        <v>1575</v>
      </c>
      <c r="F41" s="25">
        <f>F40*INSTRUCCIONES!$F$2</f>
        <v>1575</v>
      </c>
      <c r="G41" s="25">
        <f>G40*INSTRUCCIONES!$F$2</f>
        <v>1575</v>
      </c>
      <c r="H41" s="25">
        <f>H40*INSTRUCCIONES!$F$2</f>
        <v>1575</v>
      </c>
      <c r="I41" s="25">
        <f>I40*INSTRUCCIONES!$F$2</f>
        <v>1575</v>
      </c>
      <c r="J41" s="25">
        <f>J40*INSTRUCCIONES!$F$2</f>
        <v>1575</v>
      </c>
      <c r="K41" s="25">
        <f>K40*INSTRUCCIONES!$F$2</f>
        <v>1575</v>
      </c>
      <c r="L41" s="25">
        <f>L40*INSTRUCCIONES!$F$2</f>
        <v>1575</v>
      </c>
      <c r="M41" s="25">
        <f>M40*INSTRUCCIONES!$F$2</f>
        <v>1575</v>
      </c>
      <c r="N41" s="25">
        <f>N40*INSTRUCCIONES!$F$2</f>
        <v>1575</v>
      </c>
      <c r="O41" s="5"/>
      <c r="P41" s="17" t="str">
        <f>A27</f>
        <v>Finanzas</v>
      </c>
      <c r="Q41" s="28">
        <f>Q9*B$41</f>
        <v>105</v>
      </c>
      <c r="R41" s="28">
        <f>R9*C$41</f>
        <v>112.5</v>
      </c>
      <c r="S41" s="28">
        <f>S9*D$41</f>
        <v>112.5</v>
      </c>
      <c r="T41" s="28">
        <f>T9*E$41</f>
        <v>112.5</v>
      </c>
      <c r="U41" s="28">
        <f>U9*F$41</f>
        <v>112.5</v>
      </c>
      <c r="V41" s="28">
        <f>V9*G$41</f>
        <v>112.5</v>
      </c>
      <c r="W41" s="28">
        <f>W9*H$41</f>
        <v>112.5</v>
      </c>
      <c r="X41" s="28">
        <f>X9*I$41</f>
        <v>112.5</v>
      </c>
      <c r="Y41" s="28">
        <f>Y9*J$41</f>
        <v>112.5</v>
      </c>
      <c r="Z41" s="28">
        <f>Z9*K$41</f>
        <v>112.5</v>
      </c>
      <c r="AA41" s="28">
        <f>AA9*L$41</f>
        <v>112.5</v>
      </c>
      <c r="AB41" s="28">
        <f>AB9*M$41</f>
        <v>112.5</v>
      </c>
      <c r="AC41" s="28">
        <f>AC9*N$41</f>
        <v>112.5</v>
      </c>
      <c r="AK41" s="5"/>
      <c r="AL41" s="5"/>
    </row>
    <row r="42" spans="1:38" ht="15" customHeight="1">
      <c r="A42" s="5"/>
      <c r="B42" s="5"/>
      <c r="C42" s="5"/>
      <c r="D42" s="5"/>
      <c r="E42" s="5"/>
      <c r="F42" s="5"/>
      <c r="G42" s="5"/>
      <c r="H42" s="5"/>
      <c r="P42" s="17" t="str">
        <f>A28</f>
        <v>Arquitecto de Software</v>
      </c>
      <c r="Q42" s="28">
        <f>Q10*B$41</f>
        <v>0</v>
      </c>
      <c r="R42" s="28">
        <f>R10*C$41</f>
        <v>0</v>
      </c>
      <c r="S42" s="28">
        <f>S10*D$41</f>
        <v>0</v>
      </c>
      <c r="T42" s="28">
        <f>T10*E$41</f>
        <v>0</v>
      </c>
      <c r="U42" s="28">
        <f>U10*F$41</f>
        <v>0</v>
      </c>
      <c r="V42" s="28">
        <f>V10*G$41</f>
        <v>0</v>
      </c>
      <c r="W42" s="28">
        <f>W10*H$41</f>
        <v>0</v>
      </c>
      <c r="X42" s="28">
        <f>X10*I$41</f>
        <v>0</v>
      </c>
      <c r="Y42" s="28">
        <f>Y10*J$41</f>
        <v>0</v>
      </c>
      <c r="Z42" s="28">
        <f>Z10*K$41</f>
        <v>0</v>
      </c>
      <c r="AA42" s="28">
        <f>AA10*L$41</f>
        <v>0</v>
      </c>
      <c r="AB42" s="28">
        <f>AB10*M$41</f>
        <v>0</v>
      </c>
      <c r="AC42" s="28">
        <f>AC10*N$41</f>
        <v>0</v>
      </c>
      <c r="AD42" s="5"/>
      <c r="AE42" s="5"/>
    </row>
    <row r="43" spans="1:38" ht="15.75" customHeight="1">
      <c r="A43" s="15"/>
      <c r="B43" s="15"/>
      <c r="C43" s="15"/>
      <c r="D43" s="15"/>
      <c r="E43" s="15"/>
      <c r="F43" s="15"/>
      <c r="G43" s="15"/>
      <c r="H43" s="5"/>
      <c r="P43" s="17" t="str">
        <f>A29</f>
        <v>DevOps</v>
      </c>
      <c r="Q43" s="28">
        <f>Q11*B$41</f>
        <v>0</v>
      </c>
      <c r="R43" s="28">
        <f>R11*C$41</f>
        <v>0</v>
      </c>
      <c r="S43" s="28">
        <f>S11*D$41</f>
        <v>0</v>
      </c>
      <c r="T43" s="28">
        <f>T11*E$41</f>
        <v>0</v>
      </c>
      <c r="U43" s="28">
        <f>U11*F$41</f>
        <v>0</v>
      </c>
      <c r="V43" s="28">
        <f>V11*G$41</f>
        <v>0</v>
      </c>
      <c r="W43" s="28">
        <f>W11*H$41</f>
        <v>0</v>
      </c>
      <c r="X43" s="28">
        <f>X11*I$41</f>
        <v>0</v>
      </c>
      <c r="Y43" s="28">
        <f>Y11*J$41</f>
        <v>0</v>
      </c>
      <c r="Z43" s="28">
        <f>Z11*K$41</f>
        <v>0</v>
      </c>
      <c r="AA43" s="28">
        <f>AA11*L$41</f>
        <v>0</v>
      </c>
      <c r="AB43" s="28">
        <f>AB11*M$41</f>
        <v>0</v>
      </c>
      <c r="AC43" s="28">
        <f>AC11*N$41</f>
        <v>0</v>
      </c>
      <c r="AD43" s="5"/>
      <c r="AE43" s="5"/>
    </row>
    <row r="44" spans="1:38" ht="15.75" customHeight="1">
      <c r="A44" s="5"/>
      <c r="B44" s="5"/>
      <c r="C44" s="5"/>
      <c r="D44" s="5"/>
      <c r="E44" s="5"/>
      <c r="F44" s="5"/>
      <c r="G44" s="5"/>
      <c r="H44" s="33"/>
      <c r="P44" s="17" t="str">
        <f>A30</f>
        <v>Responsable de Seguridad</v>
      </c>
      <c r="Q44" s="28">
        <f>Q12*B$41</f>
        <v>0</v>
      </c>
      <c r="R44" s="28">
        <f>R12*C$41</f>
        <v>0</v>
      </c>
      <c r="S44" s="28">
        <f>S12*D$41</f>
        <v>0</v>
      </c>
      <c r="T44" s="28">
        <f>T12*E$41</f>
        <v>0</v>
      </c>
      <c r="U44" s="28">
        <f>U12*F$41</f>
        <v>0</v>
      </c>
      <c r="V44" s="28">
        <f>V12*G$41</f>
        <v>0</v>
      </c>
      <c r="W44" s="28">
        <f>W12*H$41</f>
        <v>0</v>
      </c>
      <c r="X44" s="28">
        <f>X12*I$41</f>
        <v>0</v>
      </c>
      <c r="Y44" s="28">
        <f>Y12*J$41</f>
        <v>0</v>
      </c>
      <c r="Z44" s="28">
        <f>Z12*K$41</f>
        <v>0</v>
      </c>
      <c r="AA44" s="28">
        <f>AA12*L$41</f>
        <v>0</v>
      </c>
      <c r="AB44" s="28">
        <f>AB12*M$41</f>
        <v>0</v>
      </c>
      <c r="AC44" s="28">
        <f>AC12*N$41</f>
        <v>0</v>
      </c>
      <c r="AD44" s="5"/>
      <c r="AE44" s="5"/>
    </row>
    <row r="45" spans="1:38" ht="15.75" customHeight="1">
      <c r="A45" s="5"/>
      <c r="B45" s="5"/>
      <c r="C45" s="5"/>
      <c r="D45" s="5"/>
      <c r="E45" s="5"/>
      <c r="F45" s="5"/>
      <c r="G45" s="5"/>
      <c r="H45" s="33"/>
      <c r="P45" s="17" t="str">
        <f>A31</f>
        <v>Arquitecto de Base de Datos</v>
      </c>
      <c r="Q45" s="28">
        <f>Q13*B$41</f>
        <v>0</v>
      </c>
      <c r="R45" s="28">
        <f>R13*C$41</f>
        <v>0</v>
      </c>
      <c r="S45" s="28">
        <f>S13*D$41</f>
        <v>0</v>
      </c>
      <c r="T45" s="28">
        <f>T13*E$41</f>
        <v>0</v>
      </c>
      <c r="U45" s="28">
        <f>U13*F$41</f>
        <v>0</v>
      </c>
      <c r="V45" s="28">
        <f>V13*G$41</f>
        <v>0</v>
      </c>
      <c r="W45" s="28">
        <f>W13*H$41</f>
        <v>0</v>
      </c>
      <c r="X45" s="28">
        <f>X13*I$41</f>
        <v>0</v>
      </c>
      <c r="Y45" s="28">
        <f>Y13*J$41</f>
        <v>0</v>
      </c>
      <c r="Z45" s="28">
        <f>Z13*K$41</f>
        <v>0</v>
      </c>
      <c r="AA45" s="28">
        <f>AA13*L$41</f>
        <v>0</v>
      </c>
      <c r="AB45" s="28">
        <f>AB13*M$41</f>
        <v>0</v>
      </c>
      <c r="AC45" s="28">
        <f>AC13*N$41</f>
        <v>0</v>
      </c>
      <c r="AD45" s="5"/>
      <c r="AE45" s="5"/>
    </row>
    <row r="46" spans="1:38" ht="15.75" customHeight="1">
      <c r="A46" s="5"/>
      <c r="B46" s="5"/>
      <c r="C46" s="5"/>
      <c r="D46" s="5"/>
      <c r="E46" s="5"/>
      <c r="F46" s="5"/>
      <c r="G46" s="5"/>
      <c r="H46" s="5"/>
      <c r="P46" s="17" t="str">
        <f>A32</f>
        <v>Desarrollador Backend</v>
      </c>
      <c r="Q46" s="28">
        <f>Q14*B$41</f>
        <v>105</v>
      </c>
      <c r="R46" s="28">
        <f>R14*C$41</f>
        <v>112.5</v>
      </c>
      <c r="S46" s="28">
        <f>S14*D$41</f>
        <v>112.5</v>
      </c>
      <c r="T46" s="28">
        <f>T14*E$41</f>
        <v>112.5</v>
      </c>
      <c r="U46" s="28">
        <f>U14*F$41</f>
        <v>112.5</v>
      </c>
      <c r="V46" s="28">
        <f>V14*G$41</f>
        <v>112.5</v>
      </c>
      <c r="W46" s="28">
        <f>W14*H$41</f>
        <v>112.5</v>
      </c>
      <c r="X46" s="28">
        <f>X14*I$41</f>
        <v>112.5</v>
      </c>
      <c r="Y46" s="28">
        <f>Y14*J$41</f>
        <v>112.5</v>
      </c>
      <c r="Z46" s="28">
        <f>Z14*K$41</f>
        <v>112.5</v>
      </c>
      <c r="AA46" s="28">
        <f>AA14*L$41</f>
        <v>112.5</v>
      </c>
      <c r="AB46" s="28">
        <f>AB14*M$41</f>
        <v>112.5</v>
      </c>
      <c r="AC46" s="28">
        <f>AC14*N$41</f>
        <v>112.5</v>
      </c>
      <c r="AD46" s="5"/>
      <c r="AE46" s="5"/>
    </row>
    <row r="47" spans="1:38" ht="15.75" customHeight="1">
      <c r="A47" s="5"/>
      <c r="B47" s="5"/>
      <c r="C47" s="5"/>
      <c r="D47" s="5"/>
      <c r="E47" s="5"/>
      <c r="F47" s="5"/>
      <c r="G47" s="5"/>
      <c r="H47" s="33"/>
      <c r="I47" s="5"/>
      <c r="J47" s="5"/>
      <c r="K47" s="5"/>
      <c r="L47" s="5"/>
      <c r="M47" s="5"/>
      <c r="N47" s="5"/>
      <c r="O47" s="5"/>
      <c r="P47" s="17" t="str">
        <f>A33</f>
        <v>Desarrollador Frontend</v>
      </c>
      <c r="Q47" s="28">
        <f>Q15*B$41</f>
        <v>105</v>
      </c>
      <c r="R47" s="28">
        <f>R15*C$41</f>
        <v>112.5</v>
      </c>
      <c r="S47" s="28">
        <f>S15*D$41</f>
        <v>112.5</v>
      </c>
      <c r="T47" s="28">
        <f>T15*E$41</f>
        <v>112.5</v>
      </c>
      <c r="U47" s="28">
        <f>U15*F$41</f>
        <v>112.5</v>
      </c>
      <c r="V47" s="28">
        <f>V15*G$41</f>
        <v>112.5</v>
      </c>
      <c r="W47" s="28">
        <f>W15*H$41</f>
        <v>112.5</v>
      </c>
      <c r="X47" s="28">
        <f>X15*I$41</f>
        <v>112.5</v>
      </c>
      <c r="Y47" s="28">
        <f>Y15*J$41</f>
        <v>112.5</v>
      </c>
      <c r="Z47" s="28">
        <f>Z15*K$41</f>
        <v>112.5</v>
      </c>
      <c r="AA47" s="28">
        <f>AA15*L$41</f>
        <v>112.5</v>
      </c>
      <c r="AB47" s="28">
        <f>AB15*M$41</f>
        <v>112.5</v>
      </c>
      <c r="AC47" s="28">
        <f>AC15*N$41</f>
        <v>112.5</v>
      </c>
      <c r="AD47" s="5"/>
      <c r="AE47" s="5"/>
    </row>
    <row r="48" spans="1:38" ht="15.75" customHeight="1">
      <c r="A48" s="133" t="s">
        <v>24</v>
      </c>
      <c r="B48" s="134"/>
      <c r="C48" s="134"/>
      <c r="D48" s="134"/>
      <c r="E48" s="134"/>
      <c r="F48" s="134"/>
      <c r="G48" s="134"/>
      <c r="H48" s="134"/>
      <c r="I48" s="134"/>
      <c r="J48" s="134"/>
      <c r="K48" s="134"/>
      <c r="L48" s="134"/>
      <c r="M48" s="134"/>
      <c r="N48" s="134"/>
      <c r="O48" s="5"/>
      <c r="P48" s="17" t="str">
        <f>A34</f>
        <v>QA Consultant</v>
      </c>
      <c r="Q48" s="28">
        <f>Q16*B$41</f>
        <v>105</v>
      </c>
      <c r="R48" s="28">
        <f>R16*C$41</f>
        <v>112.5</v>
      </c>
      <c r="S48" s="28">
        <f>S16*D$41</f>
        <v>112.5</v>
      </c>
      <c r="T48" s="28">
        <f>T16*E$41</f>
        <v>112.5</v>
      </c>
      <c r="U48" s="28">
        <f>U16*F$41</f>
        <v>112.5</v>
      </c>
      <c r="V48" s="28">
        <f>V16*G$41</f>
        <v>112.5</v>
      </c>
      <c r="W48" s="28">
        <f>W16*H$41</f>
        <v>112.5</v>
      </c>
      <c r="X48" s="28">
        <f>X16*I$41</f>
        <v>112.5</v>
      </c>
      <c r="Y48" s="28">
        <f>Y16*J$41</f>
        <v>112.5</v>
      </c>
      <c r="Z48" s="28">
        <f>Z16*K$41</f>
        <v>112.5</v>
      </c>
      <c r="AA48" s="28">
        <f>AA16*L$41</f>
        <v>112.5</v>
      </c>
      <c r="AB48" s="28">
        <f>AB16*M$41</f>
        <v>112.5</v>
      </c>
      <c r="AC48" s="28">
        <f>AC16*N$41</f>
        <v>112.5</v>
      </c>
      <c r="AD48" s="5"/>
      <c r="AE48" s="5"/>
    </row>
    <row r="49" spans="1:38" ht="15.75" customHeight="1">
      <c r="A49" s="26"/>
      <c r="B49" s="14">
        <f t="shared" ref="B49:D49" si="51">B39</f>
        <v>46113</v>
      </c>
      <c r="C49" s="14">
        <f t="shared" si="51"/>
        <v>46144</v>
      </c>
      <c r="D49" s="14">
        <f t="shared" si="51"/>
        <v>46175</v>
      </c>
      <c r="E49" s="14">
        <f t="shared" ref="E49:N49" si="52">E39</f>
        <v>46206</v>
      </c>
      <c r="F49" s="14">
        <f t="shared" si="52"/>
        <v>46237</v>
      </c>
      <c r="G49" s="14">
        <f t="shared" si="52"/>
        <v>46268</v>
      </c>
      <c r="H49" s="14">
        <f t="shared" si="52"/>
        <v>46299</v>
      </c>
      <c r="I49" s="14">
        <f t="shared" si="52"/>
        <v>46330</v>
      </c>
      <c r="J49" s="14">
        <f t="shared" si="52"/>
        <v>46361</v>
      </c>
      <c r="K49" s="14">
        <f t="shared" si="52"/>
        <v>46392</v>
      </c>
      <c r="L49" s="14">
        <f t="shared" si="52"/>
        <v>46423</v>
      </c>
      <c r="M49" s="14">
        <f t="shared" si="52"/>
        <v>46454</v>
      </c>
      <c r="N49" s="14">
        <f t="shared" si="52"/>
        <v>46485</v>
      </c>
      <c r="O49" s="33"/>
      <c r="P49" s="17" t="str">
        <f>A35</f>
        <v>Soporte</v>
      </c>
      <c r="Q49" s="28">
        <f>Q17*B$41</f>
        <v>105</v>
      </c>
      <c r="R49" s="28">
        <f>R17*C$41</f>
        <v>112.5</v>
      </c>
      <c r="S49" s="28">
        <f>S17*D$41</f>
        <v>112.5</v>
      </c>
      <c r="T49" s="28">
        <f>T17*E$41</f>
        <v>112.5</v>
      </c>
      <c r="U49" s="28">
        <f>U17*F$41</f>
        <v>112.5</v>
      </c>
      <c r="V49" s="28">
        <f>V17*G$41</f>
        <v>112.5</v>
      </c>
      <c r="W49" s="28">
        <f>W17*H$41</f>
        <v>112.5</v>
      </c>
      <c r="X49" s="28">
        <f>X17*I$41</f>
        <v>112.5</v>
      </c>
      <c r="Y49" s="28">
        <f>Y17*J$41</f>
        <v>112.5</v>
      </c>
      <c r="Z49" s="28">
        <f>Z17*K$41</f>
        <v>112.5</v>
      </c>
      <c r="AA49" s="28">
        <f>AA17*L$41</f>
        <v>112.5</v>
      </c>
      <c r="AB49" s="28">
        <f>AB17*M$41</f>
        <v>112.5</v>
      </c>
      <c r="AC49" s="28">
        <f>AC17*N$41</f>
        <v>112.5</v>
      </c>
      <c r="AK49" s="5"/>
      <c r="AL49" s="5"/>
    </row>
    <row r="50" spans="1:38" ht="15.75" customHeight="1">
      <c r="A50" s="29" t="s">
        <v>25</v>
      </c>
      <c r="B50" s="30"/>
      <c r="C50" s="7"/>
      <c r="D50" s="7"/>
      <c r="E50" s="7"/>
      <c r="F50" s="7"/>
      <c r="G50" s="7"/>
      <c r="H50" s="7"/>
      <c r="I50" s="7"/>
      <c r="J50" s="7"/>
      <c r="K50" s="7"/>
      <c r="L50" s="7"/>
      <c r="M50" s="7"/>
      <c r="N50" s="7"/>
      <c r="O50" s="5"/>
      <c r="P50" s="5"/>
      <c r="Q50" s="5"/>
      <c r="R50" s="5"/>
      <c r="S50" s="5"/>
      <c r="AH50" s="5"/>
      <c r="AI50" s="5"/>
    </row>
    <row r="51" spans="1:38" ht="15.75" customHeight="1">
      <c r="A51" s="31"/>
      <c r="B51" s="32"/>
      <c r="C51" s="32"/>
      <c r="D51" s="32"/>
      <c r="E51" s="32"/>
      <c r="F51" s="32"/>
      <c r="G51" s="32"/>
      <c r="H51" s="5"/>
      <c r="I51" s="5"/>
      <c r="J51" s="5"/>
      <c r="K51" s="5"/>
      <c r="L51" s="5"/>
      <c r="M51" s="5"/>
      <c r="N51" s="5"/>
      <c r="O51" s="5"/>
      <c r="AD51" s="5"/>
      <c r="AE51" s="5"/>
    </row>
    <row r="52" spans="1:38" ht="15.75" customHeight="1">
      <c r="A52" s="133" t="s">
        <v>26</v>
      </c>
      <c r="B52" s="134"/>
      <c r="C52" s="134"/>
      <c r="D52" s="134"/>
      <c r="E52" s="134"/>
      <c r="F52" s="134"/>
      <c r="G52" s="134"/>
      <c r="H52" s="134"/>
      <c r="I52" s="134"/>
      <c r="J52" s="134"/>
      <c r="K52" s="134"/>
      <c r="L52" s="134"/>
      <c r="M52" s="134"/>
      <c r="N52" s="134"/>
      <c r="P52" s="139" t="s">
        <v>27</v>
      </c>
      <c r="Q52" s="140"/>
      <c r="R52" s="140"/>
      <c r="S52" s="140"/>
      <c r="T52" s="140"/>
      <c r="U52" s="140"/>
      <c r="V52" s="140"/>
      <c r="AD52" s="5"/>
      <c r="AE52" s="5"/>
    </row>
    <row r="53" spans="1:38" ht="15.75" customHeight="1">
      <c r="A53" s="26"/>
      <c r="B53" s="14">
        <f t="shared" ref="B53:C53" si="53">B49</f>
        <v>46113</v>
      </c>
      <c r="C53" s="14">
        <f t="shared" si="53"/>
        <v>46144</v>
      </c>
      <c r="D53" s="14">
        <f t="shared" ref="D53:N53" si="54">D49</f>
        <v>46175</v>
      </c>
      <c r="E53" s="14">
        <f t="shared" si="54"/>
        <v>46206</v>
      </c>
      <c r="F53" s="14">
        <f t="shared" si="54"/>
        <v>46237</v>
      </c>
      <c r="G53" s="14">
        <f t="shared" si="54"/>
        <v>46268</v>
      </c>
      <c r="H53" s="14">
        <f t="shared" si="54"/>
        <v>46299</v>
      </c>
      <c r="I53" s="14">
        <f t="shared" si="54"/>
        <v>46330</v>
      </c>
      <c r="J53" s="14">
        <f t="shared" si="54"/>
        <v>46361</v>
      </c>
      <c r="K53" s="14">
        <f t="shared" si="54"/>
        <v>46392</v>
      </c>
      <c r="L53" s="14">
        <f t="shared" si="54"/>
        <v>46423</v>
      </c>
      <c r="M53" s="14">
        <f t="shared" si="54"/>
        <v>46454</v>
      </c>
      <c r="N53" s="14">
        <f t="shared" si="54"/>
        <v>46485</v>
      </c>
      <c r="O53" s="5"/>
      <c r="P53" s="137" t="s">
        <v>16</v>
      </c>
      <c r="Q53" s="138">
        <f>Q35</f>
        <v>46113</v>
      </c>
      <c r="R53" s="138">
        <f>R35</f>
        <v>46144</v>
      </c>
      <c r="S53" s="138">
        <f>Z35</f>
        <v>46392</v>
      </c>
      <c r="T53" s="138">
        <f>AA35</f>
        <v>46423</v>
      </c>
      <c r="U53" s="138">
        <f>AB35</f>
        <v>46454</v>
      </c>
      <c r="V53" s="138">
        <f>AC35</f>
        <v>46485</v>
      </c>
      <c r="AD53" s="5"/>
      <c r="AE53" s="5"/>
    </row>
    <row r="54" spans="1:38" ht="15.75" customHeight="1">
      <c r="A54" s="17" t="s">
        <v>28</v>
      </c>
      <c r="B54" s="28">
        <f t="shared" ref="B54:C54" si="55">(B41+B36)*40%</f>
        <v>1722.6139924850229</v>
      </c>
      <c r="C54" s="8">
        <f t="shared" si="55"/>
        <v>1845.6578490910958</v>
      </c>
      <c r="D54" s="8">
        <f t="shared" ref="D54:N54" si="56">(D41+D36)*40%</f>
        <v>1845.6578490910958</v>
      </c>
      <c r="E54" s="8">
        <f t="shared" si="56"/>
        <v>1845.6578490910958</v>
      </c>
      <c r="F54" s="8">
        <f t="shared" si="56"/>
        <v>1845.6578490910958</v>
      </c>
      <c r="G54" s="8">
        <f t="shared" si="56"/>
        <v>1845.6578490910958</v>
      </c>
      <c r="H54" s="8">
        <f t="shared" si="56"/>
        <v>1845.6578490910958</v>
      </c>
      <c r="I54" s="8">
        <f t="shared" si="56"/>
        <v>1845.6578490910958</v>
      </c>
      <c r="J54" s="8">
        <f t="shared" si="56"/>
        <v>1845.6578490910958</v>
      </c>
      <c r="K54" s="8">
        <f t="shared" si="56"/>
        <v>1845.6578490910958</v>
      </c>
      <c r="L54" s="8">
        <f t="shared" si="56"/>
        <v>1845.6578490910958</v>
      </c>
      <c r="M54" s="8">
        <f t="shared" si="56"/>
        <v>1845.6578490910958</v>
      </c>
      <c r="N54" s="8">
        <f t="shared" si="56"/>
        <v>1845.6578490910958</v>
      </c>
      <c r="O54" s="5"/>
      <c r="P54" s="17" t="str">
        <f>P36</f>
        <v>Project Manager</v>
      </c>
      <c r="Q54" s="28">
        <f>Q4*B$54</f>
        <v>123.04385660607306</v>
      </c>
      <c r="R54" s="28">
        <f>R4*C$54</f>
        <v>131.83270350650685</v>
      </c>
      <c r="S54" s="28">
        <f>W4*K$54</f>
        <v>131.83270350650685</v>
      </c>
      <c r="T54" s="28">
        <f>Z4*L$54</f>
        <v>131.83270350650685</v>
      </c>
      <c r="U54" s="28">
        <f>AB4*M$54</f>
        <v>131.83270350650685</v>
      </c>
      <c r="V54" s="28">
        <f>AC4*N$54</f>
        <v>131.83270350650685</v>
      </c>
      <c r="AD54" s="5"/>
      <c r="AE54" s="5"/>
    </row>
    <row r="55" spans="1:38" ht="15.75" customHeight="1">
      <c r="A55" s="5"/>
      <c r="B55" s="5"/>
      <c r="C55" s="5"/>
      <c r="D55" s="5"/>
      <c r="E55" s="5"/>
      <c r="F55" s="5"/>
      <c r="G55" s="5"/>
      <c r="H55" s="5"/>
      <c r="P55" s="17" t="str">
        <f>P37</f>
        <v>Analista Funcional</v>
      </c>
      <c r="Q55" s="28">
        <f>Q5*B$54</f>
        <v>0</v>
      </c>
      <c r="R55" s="28">
        <f>R5*C$54</f>
        <v>0</v>
      </c>
      <c r="S55" s="28">
        <f>W5*K$54</f>
        <v>0</v>
      </c>
      <c r="T55" s="28">
        <f>Z5*L$54</f>
        <v>0</v>
      </c>
      <c r="U55" s="28">
        <f>AB5*M$54</f>
        <v>0</v>
      </c>
      <c r="V55" s="28">
        <f>AC5*N$54</f>
        <v>0</v>
      </c>
      <c r="W55" s="5"/>
      <c r="X55" s="5"/>
    </row>
    <row r="56" spans="1:38" ht="15.75" customHeight="1">
      <c r="A56" s="5"/>
      <c r="B56" s="5"/>
      <c r="C56" s="5"/>
      <c r="D56" s="5"/>
      <c r="E56" s="5"/>
      <c r="F56" s="5"/>
      <c r="G56" s="5"/>
      <c r="H56" s="5"/>
      <c r="P56" s="17" t="str">
        <f>P38</f>
        <v>Sponsor</v>
      </c>
      <c r="Q56" s="28">
        <f>Q6*B$54</f>
        <v>0</v>
      </c>
      <c r="R56" s="28">
        <f>R6*C$54</f>
        <v>0</v>
      </c>
      <c r="S56" s="28">
        <f>W6*K$54</f>
        <v>0</v>
      </c>
      <c r="T56" s="28">
        <f>Z6*L$54</f>
        <v>0</v>
      </c>
      <c r="U56" s="28">
        <f>AB6*M$54</f>
        <v>0</v>
      </c>
      <c r="V56" s="28">
        <f>AC6*N$54</f>
        <v>0</v>
      </c>
      <c r="W56" s="5"/>
      <c r="X56" s="5"/>
    </row>
    <row r="57" spans="1:38" ht="15.75" customHeight="1">
      <c r="A57" s="5"/>
      <c r="B57" s="5"/>
      <c r="C57" s="5"/>
      <c r="D57" s="5"/>
      <c r="E57" s="5"/>
      <c r="F57" s="5"/>
      <c r="G57" s="5"/>
      <c r="H57" s="5"/>
      <c r="P57" s="17" t="str">
        <f>P39</f>
        <v>Institución Piloto</v>
      </c>
      <c r="Q57" s="28">
        <f>Q7*B$54</f>
        <v>0</v>
      </c>
      <c r="R57" s="28">
        <f>R7*C$54</f>
        <v>0</v>
      </c>
      <c r="S57" s="28">
        <f>W7*K$54</f>
        <v>0</v>
      </c>
      <c r="T57" s="28">
        <f>Z7*L$54</f>
        <v>0</v>
      </c>
      <c r="U57" s="28">
        <f>AB7*M$54</f>
        <v>0</v>
      </c>
      <c r="V57" s="28">
        <f>AC7*N$54</f>
        <v>0</v>
      </c>
      <c r="W57" s="5"/>
      <c r="X57" s="5"/>
    </row>
    <row r="58" spans="1:38" ht="15.75" customHeight="1">
      <c r="A58" s="5"/>
      <c r="B58" s="5"/>
      <c r="C58" s="5"/>
      <c r="D58" s="5"/>
      <c r="E58" s="5"/>
      <c r="F58" s="5"/>
      <c r="G58" s="5"/>
      <c r="H58" s="5"/>
      <c r="P58" s="17" t="str">
        <f>P40</f>
        <v>Product Owner</v>
      </c>
      <c r="Q58" s="28">
        <f>Q8*B$54</f>
        <v>123.04385660607306</v>
      </c>
      <c r="R58" s="28">
        <f>R8*C$54</f>
        <v>131.83270350650685</v>
      </c>
      <c r="S58" s="28">
        <f>W8*K$54</f>
        <v>131.83270350650685</v>
      </c>
      <c r="T58" s="28">
        <f>Z8*L$54</f>
        <v>131.83270350650685</v>
      </c>
      <c r="U58" s="28">
        <f>AB8*M$54</f>
        <v>131.83270350650685</v>
      </c>
      <c r="V58" s="28">
        <f>AC8*N$54</f>
        <v>131.83270350650685</v>
      </c>
      <c r="W58" s="5"/>
      <c r="X58" s="5"/>
    </row>
    <row r="59" spans="1:38" ht="15.75" customHeight="1">
      <c r="A59" s="5"/>
      <c r="B59" s="5"/>
      <c r="C59" s="5"/>
      <c r="D59" s="5"/>
      <c r="E59" s="5"/>
      <c r="F59" s="5"/>
      <c r="G59" s="5"/>
      <c r="H59" s="5"/>
      <c r="P59" s="17" t="str">
        <f>P41</f>
        <v>Finanzas</v>
      </c>
      <c r="Q59" s="28">
        <f>Q9*B$54</f>
        <v>123.04385660607306</v>
      </c>
      <c r="R59" s="28">
        <f>R9*C$54</f>
        <v>131.83270350650685</v>
      </c>
      <c r="S59" s="28">
        <f>W9*K$54</f>
        <v>131.83270350650685</v>
      </c>
      <c r="T59" s="28">
        <f>Z9*L$54</f>
        <v>131.83270350650685</v>
      </c>
      <c r="U59" s="28">
        <f>AB9*M$54</f>
        <v>131.83270350650685</v>
      </c>
      <c r="V59" s="28">
        <f>AC9*N$54</f>
        <v>131.83270350650685</v>
      </c>
      <c r="W59" s="5"/>
      <c r="X59" s="5"/>
    </row>
    <row r="60" spans="1:38" ht="15.75" customHeight="1">
      <c r="A60" s="5"/>
      <c r="B60" s="5"/>
      <c r="C60" s="5"/>
      <c r="D60" s="5"/>
      <c r="E60" s="5"/>
      <c r="F60" s="5"/>
      <c r="G60" s="5"/>
      <c r="H60" s="5"/>
      <c r="P60" s="17" t="str">
        <f>P42</f>
        <v>Arquitecto de Software</v>
      </c>
      <c r="Q60" s="28">
        <f>Q10*B$54</f>
        <v>0</v>
      </c>
      <c r="R60" s="28">
        <f>R10*C$54</f>
        <v>0</v>
      </c>
      <c r="S60" s="28">
        <f>W10*K$54</f>
        <v>0</v>
      </c>
      <c r="T60" s="28">
        <f>Z10*L$54</f>
        <v>0</v>
      </c>
      <c r="U60" s="28">
        <f>AB10*M$54</f>
        <v>0</v>
      </c>
      <c r="V60" s="28">
        <f>AC10*N$54</f>
        <v>0</v>
      </c>
      <c r="W60" s="5"/>
      <c r="X60" s="5"/>
    </row>
    <row r="61" spans="1:38" ht="15.75" customHeight="1">
      <c r="A61" s="5"/>
      <c r="B61" s="5"/>
      <c r="C61" s="5"/>
      <c r="D61" s="5"/>
      <c r="E61" s="5"/>
      <c r="F61" s="5"/>
      <c r="G61" s="5"/>
      <c r="H61" s="5"/>
      <c r="P61" s="17" t="str">
        <f>P43</f>
        <v>DevOps</v>
      </c>
      <c r="Q61" s="28">
        <f>Q11*B$54</f>
        <v>0</v>
      </c>
      <c r="R61" s="28">
        <f>R11*C$54</f>
        <v>0</v>
      </c>
      <c r="S61" s="28">
        <f>W11*K$54</f>
        <v>0</v>
      </c>
      <c r="T61" s="28">
        <f>Z11*L$54</f>
        <v>0</v>
      </c>
      <c r="U61" s="28">
        <f>AB11*M$54</f>
        <v>0</v>
      </c>
      <c r="V61" s="28">
        <f>AC11*N$54</f>
        <v>0</v>
      </c>
      <c r="W61" s="5"/>
      <c r="X61" s="5"/>
    </row>
    <row r="62" spans="1:38" ht="15.75" customHeight="1">
      <c r="A62" s="133" t="s">
        <v>29</v>
      </c>
      <c r="B62" s="134"/>
      <c r="C62" s="134"/>
      <c r="D62" s="134"/>
      <c r="E62" s="134"/>
      <c r="F62" s="134"/>
      <c r="G62" s="134"/>
      <c r="H62" s="134"/>
      <c r="I62" s="134"/>
      <c r="J62" s="134"/>
      <c r="K62" s="134"/>
      <c r="L62" s="134"/>
      <c r="M62" s="134"/>
      <c r="N62" s="134"/>
      <c r="P62" s="17" t="str">
        <f>P44</f>
        <v>Responsable de Seguridad</v>
      </c>
      <c r="Q62" s="28">
        <f>Q12*B$54</f>
        <v>0</v>
      </c>
      <c r="R62" s="28">
        <f>R12*C$54</f>
        <v>0</v>
      </c>
      <c r="S62" s="28">
        <f>W12*K$54</f>
        <v>0</v>
      </c>
      <c r="T62" s="28">
        <f>Z12*L$54</f>
        <v>0</v>
      </c>
      <c r="U62" s="28">
        <f>AB12*M$54</f>
        <v>0</v>
      </c>
      <c r="V62" s="28">
        <f>AC12*N$54</f>
        <v>0</v>
      </c>
      <c r="W62" s="5"/>
      <c r="X62" s="5"/>
    </row>
    <row r="63" spans="1:38" ht="15.75" customHeight="1">
      <c r="A63" s="26"/>
      <c r="B63" s="14">
        <f t="shared" ref="B63:C63" si="57">B53</f>
        <v>46113</v>
      </c>
      <c r="C63" s="14">
        <f t="shared" si="57"/>
        <v>46144</v>
      </c>
      <c r="D63" s="14">
        <f t="shared" ref="D63:N63" si="58">D53</f>
        <v>46175</v>
      </c>
      <c r="E63" s="14">
        <f t="shared" si="58"/>
        <v>46206</v>
      </c>
      <c r="F63" s="14">
        <f t="shared" si="58"/>
        <v>46237</v>
      </c>
      <c r="G63" s="14">
        <f t="shared" si="58"/>
        <v>46268</v>
      </c>
      <c r="H63" s="14">
        <f t="shared" si="58"/>
        <v>46299</v>
      </c>
      <c r="I63" s="14">
        <f t="shared" si="58"/>
        <v>46330</v>
      </c>
      <c r="J63" s="14">
        <f t="shared" si="58"/>
        <v>46361</v>
      </c>
      <c r="K63" s="14">
        <f t="shared" si="58"/>
        <v>46392</v>
      </c>
      <c r="L63" s="14">
        <f t="shared" si="58"/>
        <v>46423</v>
      </c>
      <c r="M63" s="14">
        <f t="shared" si="58"/>
        <v>46454</v>
      </c>
      <c r="N63" s="14">
        <f t="shared" si="58"/>
        <v>46485</v>
      </c>
      <c r="O63" s="5"/>
      <c r="P63" s="17" t="str">
        <f>P45</f>
        <v>Arquitecto de Base de Datos</v>
      </c>
      <c r="Q63" s="28">
        <f>Q13*B$54</f>
        <v>0</v>
      </c>
      <c r="R63" s="28">
        <f>R13*C$54</f>
        <v>0</v>
      </c>
      <c r="S63" s="28">
        <f>W13*K$54</f>
        <v>0</v>
      </c>
      <c r="T63" s="28">
        <f>Z13*L$54</f>
        <v>0</v>
      </c>
      <c r="U63" s="28">
        <f>AB13*M$54</f>
        <v>0</v>
      </c>
      <c r="V63" s="28">
        <f>AC13*N$54</f>
        <v>0</v>
      </c>
      <c r="AD63" s="5"/>
      <c r="AE63" s="5"/>
    </row>
    <row r="64" spans="1:38" ht="15.75" customHeight="1">
      <c r="A64" s="17" t="s">
        <v>31</v>
      </c>
      <c r="B64" s="28">
        <f t="shared" ref="B64:C64" si="59">(B54+B41+B36)*35%</f>
        <v>2110.2021407941529</v>
      </c>
      <c r="C64" s="28">
        <f t="shared" si="59"/>
        <v>2260.9308651365923</v>
      </c>
      <c r="D64" s="28">
        <f t="shared" ref="D64:N64" si="60">(D54+D41+D36)*35%</f>
        <v>2260.9308651365923</v>
      </c>
      <c r="E64" s="28">
        <f t="shared" si="60"/>
        <v>2260.9308651365923</v>
      </c>
      <c r="F64" s="28">
        <f t="shared" si="60"/>
        <v>2260.9308651365923</v>
      </c>
      <c r="G64" s="28">
        <f t="shared" si="60"/>
        <v>2260.9308651365923</v>
      </c>
      <c r="H64" s="28">
        <f t="shared" si="60"/>
        <v>2260.9308651365923</v>
      </c>
      <c r="I64" s="28">
        <f t="shared" si="60"/>
        <v>2260.9308651365923</v>
      </c>
      <c r="J64" s="28">
        <f t="shared" si="60"/>
        <v>2260.9308651365923</v>
      </c>
      <c r="K64" s="28">
        <f t="shared" si="60"/>
        <v>2260.9308651365923</v>
      </c>
      <c r="L64" s="28">
        <f t="shared" si="60"/>
        <v>2260.9308651365923</v>
      </c>
      <c r="M64" s="28">
        <f t="shared" si="60"/>
        <v>2260.9308651365923</v>
      </c>
      <c r="N64" s="28">
        <f t="shared" si="60"/>
        <v>2260.9308651365923</v>
      </c>
      <c r="O64" s="5"/>
      <c r="P64" s="17" t="str">
        <f>P46</f>
        <v>Desarrollador Backend</v>
      </c>
      <c r="Q64" s="28">
        <f>Q14*B$54</f>
        <v>123.04385660607306</v>
      </c>
      <c r="R64" s="28">
        <f>R14*C$54</f>
        <v>131.83270350650685</v>
      </c>
      <c r="S64" s="28">
        <f>W14*K$54</f>
        <v>131.83270350650685</v>
      </c>
      <c r="T64" s="28">
        <f>Z14*L$54</f>
        <v>131.83270350650685</v>
      </c>
      <c r="U64" s="28">
        <f>AB14*M$54</f>
        <v>131.83270350650685</v>
      </c>
      <c r="V64" s="28">
        <f>AC14*N$54</f>
        <v>131.83270350650685</v>
      </c>
      <c r="AD64" s="5"/>
      <c r="AE64" s="5"/>
    </row>
    <row r="65" spans="1:31" ht="15.75" customHeight="1">
      <c r="A65" s="5"/>
      <c r="B65" s="5"/>
      <c r="C65" s="5"/>
      <c r="D65" s="5"/>
      <c r="E65" s="5"/>
      <c r="F65" s="5"/>
      <c r="G65" s="5"/>
      <c r="H65" s="5"/>
      <c r="P65" s="17" t="str">
        <f>P47</f>
        <v>Desarrollador Frontend</v>
      </c>
      <c r="Q65" s="28">
        <f>Q15*B$54</f>
        <v>123.04385660607306</v>
      </c>
      <c r="R65" s="28">
        <f>R15*C$54</f>
        <v>131.83270350650685</v>
      </c>
      <c r="S65" s="28">
        <f>W15*K$54</f>
        <v>131.83270350650685</v>
      </c>
      <c r="T65" s="28">
        <f>Z15*L$54</f>
        <v>131.83270350650685</v>
      </c>
      <c r="U65" s="28">
        <f>AB15*M$54</f>
        <v>131.83270350650685</v>
      </c>
      <c r="V65" s="28">
        <f>AC15*N$54</f>
        <v>131.83270350650685</v>
      </c>
      <c r="W65" s="5"/>
      <c r="X65" s="5"/>
    </row>
    <row r="66" spans="1:31" ht="15.75" customHeight="1">
      <c r="A66" s="5"/>
      <c r="B66" s="5"/>
      <c r="C66" s="5"/>
      <c r="D66" s="5"/>
      <c r="E66" s="5"/>
      <c r="F66" s="5"/>
      <c r="G66" s="5"/>
      <c r="H66" s="5"/>
      <c r="P66" s="17" t="str">
        <f>P48</f>
        <v>QA Consultant</v>
      </c>
      <c r="Q66" s="28">
        <f>Q16*B$54</f>
        <v>123.04385660607306</v>
      </c>
      <c r="R66" s="28">
        <f>R16*C$54</f>
        <v>131.83270350650685</v>
      </c>
      <c r="S66" s="28">
        <f>W16*K$54</f>
        <v>131.83270350650685</v>
      </c>
      <c r="T66" s="28">
        <f>Z16*L$54</f>
        <v>131.83270350650685</v>
      </c>
      <c r="U66" s="28">
        <f>AB16*M$54</f>
        <v>131.83270350650685</v>
      </c>
      <c r="V66" s="28">
        <f>AC16*N$54</f>
        <v>131.83270350650685</v>
      </c>
      <c r="W66" s="5"/>
      <c r="X66" s="5"/>
    </row>
    <row r="67" spans="1:31" ht="15.75" customHeight="1">
      <c r="A67" s="5"/>
      <c r="B67" s="5"/>
      <c r="C67" s="5"/>
      <c r="D67" s="5"/>
      <c r="E67" s="5"/>
      <c r="F67" s="5"/>
      <c r="G67" s="5"/>
      <c r="H67" s="5"/>
      <c r="P67" s="17" t="str">
        <f>P49</f>
        <v>Soporte</v>
      </c>
      <c r="Q67" s="28">
        <f>Q17*B$54</f>
        <v>123.04385660607306</v>
      </c>
      <c r="R67" s="28">
        <f>R17*C$54</f>
        <v>131.83270350650685</v>
      </c>
      <c r="S67" s="28">
        <f>W17*K$54</f>
        <v>131.83270350650685</v>
      </c>
      <c r="T67" s="28">
        <f>Z17*L$54</f>
        <v>131.83270350650685</v>
      </c>
      <c r="U67" s="28">
        <f>AB17*M$54</f>
        <v>131.83270350650685</v>
      </c>
      <c r="V67" s="28">
        <f>AC17*N$54</f>
        <v>131.83270350650685</v>
      </c>
      <c r="W67" s="5"/>
      <c r="X67" s="5"/>
    </row>
    <row r="68" spans="1:31" ht="15.75" customHeight="1">
      <c r="A68" s="5"/>
      <c r="B68" s="5"/>
      <c r="C68" s="5"/>
      <c r="D68" s="5"/>
      <c r="E68" s="5"/>
      <c r="F68" s="5"/>
      <c r="G68" s="5"/>
      <c r="H68" s="5"/>
      <c r="I68" s="5"/>
      <c r="J68" s="5"/>
      <c r="K68" s="5"/>
      <c r="L68" s="5"/>
      <c r="M68" s="5"/>
      <c r="N68" s="5"/>
      <c r="O68" s="5"/>
      <c r="P68" s="5"/>
      <c r="Q68" s="5"/>
      <c r="R68" s="5"/>
      <c r="S68" s="5"/>
      <c r="T68" s="5"/>
      <c r="U68" s="5"/>
      <c r="V68" s="5"/>
      <c r="W68" s="5"/>
      <c r="X68" s="5"/>
    </row>
    <row r="69" spans="1:31" ht="15.75" customHeight="1">
      <c r="A69" s="5"/>
      <c r="B69" s="5"/>
      <c r="C69" s="5"/>
      <c r="D69" s="5"/>
      <c r="E69" s="5"/>
      <c r="F69" s="5"/>
      <c r="G69" s="5"/>
      <c r="H69" s="5"/>
      <c r="P69" s="5"/>
      <c r="Q69" s="5"/>
      <c r="R69" s="5"/>
      <c r="S69" s="5"/>
      <c r="T69" s="5"/>
      <c r="U69" s="5"/>
      <c r="V69" s="5"/>
      <c r="W69" s="5"/>
      <c r="X69" s="5"/>
    </row>
    <row r="70" spans="1:31" ht="15.75" customHeight="1">
      <c r="A70" s="5"/>
      <c r="B70" s="5"/>
      <c r="C70" s="5"/>
      <c r="D70" s="5"/>
      <c r="E70" s="5"/>
      <c r="F70" s="5"/>
      <c r="G70" s="5"/>
      <c r="H70" s="5"/>
      <c r="P70" s="139" t="s">
        <v>30</v>
      </c>
      <c r="Q70" s="140"/>
      <c r="R70" s="140"/>
      <c r="S70" s="140"/>
      <c r="T70" s="140"/>
      <c r="U70" s="140"/>
      <c r="V70" s="140"/>
      <c r="W70" s="5"/>
      <c r="X70" s="5"/>
    </row>
    <row r="71" spans="1:31" ht="15.75" customHeight="1">
      <c r="A71" s="5"/>
      <c r="B71" s="5"/>
      <c r="C71" s="5"/>
      <c r="D71" s="5"/>
      <c r="E71" s="5"/>
      <c r="F71" s="5"/>
      <c r="G71" s="5"/>
      <c r="H71" s="5"/>
      <c r="P71" s="137" t="s">
        <v>16</v>
      </c>
      <c r="Q71" s="138">
        <f>Q53</f>
        <v>46113</v>
      </c>
      <c r="R71" s="138">
        <f>R53</f>
        <v>46144</v>
      </c>
      <c r="S71" s="138">
        <f>S53</f>
        <v>46392</v>
      </c>
      <c r="T71" s="138">
        <f>T53</f>
        <v>46423</v>
      </c>
      <c r="U71" s="138">
        <f>U53</f>
        <v>46454</v>
      </c>
      <c r="V71" s="138">
        <f>V53</f>
        <v>46485</v>
      </c>
      <c r="W71" s="5"/>
      <c r="X71" s="5"/>
    </row>
    <row r="72" spans="1:31" ht="15.75" customHeight="1">
      <c r="A72" s="135" t="s">
        <v>32</v>
      </c>
      <c r="B72" s="136"/>
      <c r="C72" s="136"/>
      <c r="D72" s="136"/>
      <c r="E72" s="136"/>
      <c r="F72" s="136"/>
      <c r="G72" s="136"/>
      <c r="H72" s="136"/>
      <c r="I72" s="136"/>
      <c r="J72" s="136"/>
      <c r="K72" s="136"/>
      <c r="L72" s="136"/>
      <c r="M72" s="136"/>
      <c r="N72" s="136"/>
      <c r="P72" s="17" t="str">
        <f>P54</f>
        <v>Project Manager</v>
      </c>
      <c r="Q72" s="28">
        <f>Q4*B$64</f>
        <v>150.72872434243948</v>
      </c>
      <c r="R72" s="28">
        <f>R4*C$64</f>
        <v>161.49506179547086</v>
      </c>
      <c r="S72" s="28">
        <f>W4*K$64</f>
        <v>161.49506179547086</v>
      </c>
      <c r="T72" s="28">
        <f>Z4*L$64</f>
        <v>161.49506179547086</v>
      </c>
      <c r="U72" s="28">
        <f>AB4*M$64</f>
        <v>161.49506179547086</v>
      </c>
      <c r="V72" s="28">
        <f>AC4*N$64</f>
        <v>161.49506179547086</v>
      </c>
      <c r="W72" s="5"/>
      <c r="X72" s="5"/>
    </row>
    <row r="73" spans="1:31" ht="15.75" customHeight="1">
      <c r="A73" s="34"/>
      <c r="B73" s="14">
        <f t="shared" ref="B73:C73" si="61">B63</f>
        <v>46113</v>
      </c>
      <c r="C73" s="14">
        <f t="shared" si="61"/>
        <v>46144</v>
      </c>
      <c r="D73" s="14">
        <f t="shared" ref="D73:N73" si="62">D63</f>
        <v>46175</v>
      </c>
      <c r="E73" s="14">
        <f t="shared" si="62"/>
        <v>46206</v>
      </c>
      <c r="F73" s="14">
        <f t="shared" si="62"/>
        <v>46237</v>
      </c>
      <c r="G73" s="14">
        <f t="shared" si="62"/>
        <v>46268</v>
      </c>
      <c r="H73" s="14">
        <f t="shared" si="62"/>
        <v>46299</v>
      </c>
      <c r="I73" s="14">
        <f t="shared" si="62"/>
        <v>46330</v>
      </c>
      <c r="J73" s="14">
        <f t="shared" si="62"/>
        <v>46361</v>
      </c>
      <c r="K73" s="14">
        <f t="shared" si="62"/>
        <v>46392</v>
      </c>
      <c r="L73" s="14">
        <f t="shared" si="62"/>
        <v>46423</v>
      </c>
      <c r="M73" s="14">
        <f t="shared" si="62"/>
        <v>46454</v>
      </c>
      <c r="N73" s="14">
        <f t="shared" si="62"/>
        <v>46485</v>
      </c>
      <c r="O73" s="5"/>
      <c r="P73" s="17" t="str">
        <f>P55</f>
        <v>Analista Funcional</v>
      </c>
      <c r="Q73" s="28">
        <f>Q5*B$64</f>
        <v>0</v>
      </c>
      <c r="R73" s="28">
        <f>R5*C$64</f>
        <v>0</v>
      </c>
      <c r="S73" s="28">
        <f>W5*K$64</f>
        <v>0</v>
      </c>
      <c r="T73" s="28">
        <f>Z5*L$64</f>
        <v>0</v>
      </c>
      <c r="U73" s="28">
        <f>AB5*M$64</f>
        <v>0</v>
      </c>
      <c r="V73" s="28">
        <f>AC5*N$64</f>
        <v>0</v>
      </c>
      <c r="AD73" s="5"/>
      <c r="AE73" s="5"/>
    </row>
    <row r="74" spans="1:31" ht="15.75" customHeight="1">
      <c r="A74" s="35" t="str">
        <f>A4</f>
        <v>Project Manager</v>
      </c>
      <c r="B74" s="28">
        <f>B22+Q36+Q54+Q72</f>
        <v>641.27258094851254</v>
      </c>
      <c r="C74" s="28">
        <f>C22+R36+R54+R72</f>
        <v>687.07776530197771</v>
      </c>
      <c r="D74" s="28">
        <f>D22+S36+S54+S72</f>
        <v>687.07776530197771</v>
      </c>
      <c r="E74" s="28">
        <f>E22+T36+T54+T72</f>
        <v>687.07776530197771</v>
      </c>
      <c r="F74" s="28">
        <f>F22+U36+U54+U72</f>
        <v>687.07776530197771</v>
      </c>
      <c r="G74" s="28">
        <f>G22+V36+V54+V72</f>
        <v>687.07776530197771</v>
      </c>
      <c r="H74" s="28">
        <f t="shared" ref="D74:N74" si="63">H22+W36+AD54+W72</f>
        <v>393.75</v>
      </c>
      <c r="I74" s="28">
        <f t="shared" si="63"/>
        <v>393.75</v>
      </c>
      <c r="J74" s="28">
        <f t="shared" si="63"/>
        <v>393.75</v>
      </c>
      <c r="K74" s="28">
        <f t="shared" si="63"/>
        <v>393.75</v>
      </c>
      <c r="L74" s="28">
        <f t="shared" si="63"/>
        <v>393.75</v>
      </c>
      <c r="M74" s="28">
        <f t="shared" si="63"/>
        <v>393.75</v>
      </c>
      <c r="N74" s="28">
        <f t="shared" si="63"/>
        <v>393.75</v>
      </c>
      <c r="O74" s="5"/>
      <c r="P74" s="17" t="str">
        <f>P56</f>
        <v>Sponsor</v>
      </c>
      <c r="Q74" s="28">
        <f>Q6*B$64</f>
        <v>0</v>
      </c>
      <c r="R74" s="28">
        <f>R6*C$64</f>
        <v>0</v>
      </c>
      <c r="S74" s="28">
        <f>W6*K$64</f>
        <v>0</v>
      </c>
      <c r="T74" s="28">
        <f>Z6*L$64</f>
        <v>0</v>
      </c>
      <c r="U74" s="28">
        <f>AB6*M$64</f>
        <v>0</v>
      </c>
      <c r="V74" s="28">
        <f>AC6*N$64</f>
        <v>0</v>
      </c>
      <c r="AD74" s="5"/>
      <c r="AE74" s="5"/>
    </row>
    <row r="75" spans="1:31" ht="15.75" customHeight="1">
      <c r="A75" s="35" t="str">
        <f t="shared" ref="A75:A87" si="64">A5</f>
        <v>Analista Funcional</v>
      </c>
      <c r="B75" s="28">
        <f>B23+Q37+Q55+Q73</f>
        <v>261.04347826086956</v>
      </c>
      <c r="C75" s="28">
        <f>C23+R37+R55+R73</f>
        <v>279.68944099378882</v>
      </c>
      <c r="D75" s="28">
        <f>D23+S37+S55+S73</f>
        <v>279.68944099378882</v>
      </c>
      <c r="E75" s="28">
        <f>E23+T37+T55+T73</f>
        <v>279.68944099378882</v>
      </c>
      <c r="F75" s="28">
        <f>F23+U37+U55+U73</f>
        <v>279.68944099378882</v>
      </c>
      <c r="G75" s="28">
        <f>G23+V37+V55+V73</f>
        <v>279.68944099378882</v>
      </c>
      <c r="H75" s="28">
        <f t="shared" ref="D75:N75" si="65">H23+W37+W55+AD73</f>
        <v>279.68944099378882</v>
      </c>
      <c r="I75" s="28">
        <f t="shared" si="65"/>
        <v>279.68944099378882</v>
      </c>
      <c r="J75" s="28">
        <f t="shared" si="65"/>
        <v>279.68944099378882</v>
      </c>
      <c r="K75" s="28">
        <f t="shared" si="65"/>
        <v>279.68944099378882</v>
      </c>
      <c r="L75" s="28">
        <f t="shared" si="65"/>
        <v>279.68944099378882</v>
      </c>
      <c r="M75" s="28">
        <f t="shared" si="65"/>
        <v>279.68944099378882</v>
      </c>
      <c r="N75" s="28">
        <f t="shared" si="65"/>
        <v>279.68944099378882</v>
      </c>
      <c r="O75" s="5"/>
      <c r="P75" s="17" t="str">
        <f>P57</f>
        <v>Institución Piloto</v>
      </c>
      <c r="Q75" s="28">
        <f>Q7*B$64</f>
        <v>0</v>
      </c>
      <c r="R75" s="28">
        <f>R7*C$64</f>
        <v>0</v>
      </c>
      <c r="S75" s="28">
        <f>W7*K$64</f>
        <v>0</v>
      </c>
      <c r="T75" s="28">
        <f>Z7*L$64</f>
        <v>0</v>
      </c>
      <c r="U75" s="28">
        <f>AB7*M$64</f>
        <v>0</v>
      </c>
      <c r="V75" s="28">
        <f>AC7*N$64</f>
        <v>0</v>
      </c>
      <c r="AD75" s="5"/>
      <c r="AE75" s="5"/>
    </row>
    <row r="76" spans="1:31" ht="15.75" customHeight="1">
      <c r="A76" s="35" t="str">
        <f t="shared" si="64"/>
        <v>Sponsor</v>
      </c>
      <c r="B76" s="28">
        <f>B24+Q38+Q56+Q74</f>
        <v>259.60493827160491</v>
      </c>
      <c r="C76" s="28">
        <f>C24+R38+R56+R74</f>
        <v>278.14814814814815</v>
      </c>
      <c r="D76" s="28">
        <f>D24+S38+S56+S74</f>
        <v>278.14814814814815</v>
      </c>
      <c r="E76" s="28">
        <f>E24+T38+T56+T74</f>
        <v>278.14814814814815</v>
      </c>
      <c r="F76" s="28">
        <f>F24+U38+U56+U74</f>
        <v>278.14814814814815</v>
      </c>
      <c r="G76" s="28">
        <f>G24+V38+V56+V74</f>
        <v>278.14814814814815</v>
      </c>
      <c r="H76" s="28">
        <f t="shared" ref="D76:N76" si="66">H24+W38+W56+AD74</f>
        <v>278.14814814814815</v>
      </c>
      <c r="I76" s="28">
        <f t="shared" si="66"/>
        <v>278.14814814814815</v>
      </c>
      <c r="J76" s="28">
        <f t="shared" si="66"/>
        <v>278.14814814814815</v>
      </c>
      <c r="K76" s="28">
        <f t="shared" si="66"/>
        <v>278.14814814814815</v>
      </c>
      <c r="L76" s="28">
        <f t="shared" si="66"/>
        <v>278.14814814814815</v>
      </c>
      <c r="M76" s="28">
        <f t="shared" si="66"/>
        <v>278.14814814814815</v>
      </c>
      <c r="N76" s="28">
        <f t="shared" si="66"/>
        <v>278.14814814814815</v>
      </c>
      <c r="O76" s="5"/>
      <c r="P76" s="17" t="str">
        <f>P58</f>
        <v>Product Owner</v>
      </c>
      <c r="Q76" s="28">
        <f>Q8*B$64</f>
        <v>150.72872434243948</v>
      </c>
      <c r="R76" s="28">
        <f>R8*C$64</f>
        <v>161.49506179547086</v>
      </c>
      <c r="S76" s="28">
        <f>W8*K$64</f>
        <v>161.49506179547086</v>
      </c>
      <c r="T76" s="28">
        <f>Z8*L$64</f>
        <v>161.49506179547086</v>
      </c>
      <c r="U76" s="28">
        <f>AB8*M$64</f>
        <v>161.49506179547086</v>
      </c>
      <c r="V76" s="28">
        <f>AC8*N$64</f>
        <v>161.49506179547086</v>
      </c>
      <c r="AD76" s="5"/>
      <c r="AE76" s="5"/>
    </row>
    <row r="77" spans="1:31" ht="15.75" customHeight="1">
      <c r="A77" s="35" t="str">
        <f t="shared" si="64"/>
        <v>Institución Piloto</v>
      </c>
      <c r="B77" s="28">
        <f>B25+Q39+Q57+Q75</f>
        <v>258.18404907975463</v>
      </c>
      <c r="C77" s="28">
        <f>C25+R39+R57+R75</f>
        <v>276.62576687116564</v>
      </c>
      <c r="D77" s="28">
        <f>D25+S39+S57+S75</f>
        <v>276.62576687116564</v>
      </c>
      <c r="E77" s="28">
        <f>E25+T39+T57+T75</f>
        <v>276.62576687116564</v>
      </c>
      <c r="F77" s="28">
        <f>F25+U39+U57+U75</f>
        <v>276.62576687116564</v>
      </c>
      <c r="G77" s="28">
        <f>G25+V39+V57+V75</f>
        <v>276.62576687116564</v>
      </c>
      <c r="H77" s="28">
        <f t="shared" ref="D77:N77" si="67">H25+W39+W57+AD75</f>
        <v>276.62576687116564</v>
      </c>
      <c r="I77" s="28">
        <f t="shared" si="67"/>
        <v>276.62576687116564</v>
      </c>
      <c r="J77" s="28">
        <f t="shared" si="67"/>
        <v>276.62576687116564</v>
      </c>
      <c r="K77" s="28">
        <f t="shared" si="67"/>
        <v>276.62576687116564</v>
      </c>
      <c r="L77" s="28">
        <f t="shared" si="67"/>
        <v>276.62576687116564</v>
      </c>
      <c r="M77" s="28">
        <f t="shared" si="67"/>
        <v>276.62576687116564</v>
      </c>
      <c r="N77" s="28">
        <f t="shared" si="67"/>
        <v>276.62576687116564</v>
      </c>
      <c r="O77" s="5"/>
      <c r="P77" s="17" t="str">
        <f>P59</f>
        <v>Finanzas</v>
      </c>
      <c r="Q77" s="28">
        <f>Q9*B$64</f>
        <v>150.72872434243948</v>
      </c>
      <c r="R77" s="28">
        <f>R9*C$64</f>
        <v>161.49506179547086</v>
      </c>
      <c r="S77" s="28">
        <f>W9*K$64</f>
        <v>161.49506179547086</v>
      </c>
      <c r="T77" s="28">
        <f>Z9*L$64</f>
        <v>161.49506179547086</v>
      </c>
      <c r="U77" s="28">
        <f>AB9*M$64</f>
        <v>161.49506179547086</v>
      </c>
      <c r="V77" s="28">
        <f>AC9*N$64</f>
        <v>161.49506179547086</v>
      </c>
      <c r="AD77" s="5"/>
      <c r="AE77" s="5"/>
    </row>
    <row r="78" spans="1:31" ht="15.75" customHeight="1">
      <c r="A78" s="35" t="str">
        <f t="shared" si="64"/>
        <v>Product Owner</v>
      </c>
      <c r="B78" s="28">
        <f>B26+Q40+Q58+Q76</f>
        <v>635.55306875339056</v>
      </c>
      <c r="C78" s="28">
        <f>C26+R40+R58+R76</f>
        <v>680.9497165214899</v>
      </c>
      <c r="D78" s="28">
        <f>D26+S40+S58+S76</f>
        <v>680.9497165214899</v>
      </c>
      <c r="E78" s="28">
        <f>E26+T40+T58+T76</f>
        <v>680.9497165214899</v>
      </c>
      <c r="F78" s="28">
        <f>F26+U40+U58+U76</f>
        <v>680.9497165214899</v>
      </c>
      <c r="G78" s="28">
        <f>G26+V40+V58+V76</f>
        <v>680.9497165214899</v>
      </c>
      <c r="H78" s="28">
        <f t="shared" ref="D78:N78" si="68">H26+W40+W58+AD76</f>
        <v>387.6219512195122</v>
      </c>
      <c r="I78" s="28">
        <f t="shared" si="68"/>
        <v>387.6219512195122</v>
      </c>
      <c r="J78" s="28">
        <f t="shared" si="68"/>
        <v>387.6219512195122</v>
      </c>
      <c r="K78" s="28">
        <f t="shared" si="68"/>
        <v>387.6219512195122</v>
      </c>
      <c r="L78" s="28">
        <f t="shared" si="68"/>
        <v>387.6219512195122</v>
      </c>
      <c r="M78" s="28">
        <f t="shared" si="68"/>
        <v>387.6219512195122</v>
      </c>
      <c r="N78" s="28">
        <f t="shared" si="68"/>
        <v>387.6219512195122</v>
      </c>
      <c r="O78" s="5"/>
      <c r="P78" s="17" t="str">
        <f>P60</f>
        <v>Arquitecto de Software</v>
      </c>
      <c r="Q78" s="28">
        <f>Q10*B$64</f>
        <v>0</v>
      </c>
      <c r="R78" s="28">
        <f>R10*C$64</f>
        <v>0</v>
      </c>
      <c r="S78" s="28">
        <f>W10*K$64</f>
        <v>0</v>
      </c>
      <c r="T78" s="28">
        <f>Z10*L$64</f>
        <v>0</v>
      </c>
      <c r="U78" s="28">
        <f>AB10*M$64</f>
        <v>0</v>
      </c>
      <c r="V78" s="28">
        <f>AC10*N$64</f>
        <v>0</v>
      </c>
      <c r="AD78" s="5"/>
      <c r="AE78" s="5"/>
    </row>
    <row r="79" spans="1:31" ht="15.75" customHeight="1">
      <c r="A79" s="35" t="str">
        <f t="shared" si="64"/>
        <v>Finanzas</v>
      </c>
      <c r="B79" s="28">
        <f>B27+Q41+Q59+Q77</f>
        <v>634.16652034245192</v>
      </c>
      <c r="C79" s="28">
        <f>C27+R41+R59+R77</f>
        <v>679.46412893834133</v>
      </c>
      <c r="D79" s="28">
        <f>D27+S41+S59+S77</f>
        <v>679.46412893834133</v>
      </c>
      <c r="E79" s="28">
        <f>E27+T41+T59+T77</f>
        <v>679.46412893834133</v>
      </c>
      <c r="F79" s="28">
        <f>F27+U41+U59+U77</f>
        <v>679.46412893834133</v>
      </c>
      <c r="G79" s="28">
        <f>G27+V41+V59+V77</f>
        <v>679.46412893834133</v>
      </c>
      <c r="H79" s="28">
        <f t="shared" ref="D79:N79" si="69">H27+W41+W59+AD77</f>
        <v>386.13636363636363</v>
      </c>
      <c r="I79" s="28">
        <f t="shared" si="69"/>
        <v>386.13636363636363</v>
      </c>
      <c r="J79" s="28">
        <f t="shared" si="69"/>
        <v>386.13636363636363</v>
      </c>
      <c r="K79" s="28">
        <f t="shared" si="69"/>
        <v>386.13636363636363</v>
      </c>
      <c r="L79" s="28">
        <f t="shared" si="69"/>
        <v>386.13636363636363</v>
      </c>
      <c r="M79" s="28">
        <f t="shared" si="69"/>
        <v>386.13636363636363</v>
      </c>
      <c r="N79" s="28">
        <f t="shared" si="69"/>
        <v>386.13636363636363</v>
      </c>
      <c r="O79" s="5"/>
      <c r="P79" s="17" t="str">
        <f>P61</f>
        <v>DevOps</v>
      </c>
      <c r="Q79" s="28">
        <f>Q11*B$64</f>
        <v>0</v>
      </c>
      <c r="R79" s="28">
        <f>R11*C$64</f>
        <v>0</v>
      </c>
      <c r="S79" s="28">
        <f>W11*K$64</f>
        <v>0</v>
      </c>
      <c r="T79" s="28">
        <f>Z11*L$64</f>
        <v>0</v>
      </c>
      <c r="U79" s="28">
        <f>AB11*M$64</f>
        <v>0</v>
      </c>
      <c r="V79" s="28">
        <f>AC11*N$64</f>
        <v>0</v>
      </c>
      <c r="AD79" s="5"/>
      <c r="AE79" s="5"/>
    </row>
    <row r="80" spans="1:31" ht="15.75" customHeight="1">
      <c r="A80" s="35" t="str">
        <f t="shared" si="64"/>
        <v>Arquitecto de Software</v>
      </c>
      <c r="B80" s="28">
        <f>B28+Q42+Q60+Q78</f>
        <v>254.02409638554215</v>
      </c>
      <c r="C80" s="28">
        <f>C28+R42+R60+R78</f>
        <v>272.16867469879514</v>
      </c>
      <c r="D80" s="28">
        <f>D28+S42+S60+S78</f>
        <v>272.16867469879514</v>
      </c>
      <c r="E80" s="28">
        <f>E28+T42+T60+T78</f>
        <v>272.16867469879514</v>
      </c>
      <c r="F80" s="28">
        <f>F28+U42+U60+U78</f>
        <v>272.16867469879514</v>
      </c>
      <c r="G80" s="28">
        <f>G28+V42+V60+V78</f>
        <v>272.16867469879514</v>
      </c>
      <c r="H80" s="28">
        <f t="shared" ref="D80:N80" si="70">H28+W42+W60+AD78</f>
        <v>272.16867469879514</v>
      </c>
      <c r="I80" s="28">
        <f t="shared" si="70"/>
        <v>272.16867469879514</v>
      </c>
      <c r="J80" s="28">
        <f t="shared" si="70"/>
        <v>272.16867469879514</v>
      </c>
      <c r="K80" s="28">
        <f t="shared" si="70"/>
        <v>272.16867469879514</v>
      </c>
      <c r="L80" s="28">
        <f t="shared" si="70"/>
        <v>272.16867469879514</v>
      </c>
      <c r="M80" s="28">
        <f t="shared" si="70"/>
        <v>272.16867469879514</v>
      </c>
      <c r="N80" s="28">
        <f t="shared" si="70"/>
        <v>272.16867469879514</v>
      </c>
      <c r="O80" s="5"/>
      <c r="P80" s="17" t="str">
        <f>P62</f>
        <v>Responsable de Seguridad</v>
      </c>
      <c r="Q80" s="28">
        <f>Q12*B$64</f>
        <v>0</v>
      </c>
      <c r="R80" s="28">
        <f>R12*C$64</f>
        <v>0</v>
      </c>
      <c r="S80" s="28">
        <f>W12*K$64</f>
        <v>0</v>
      </c>
      <c r="T80" s="28">
        <f>Z12*L$64</f>
        <v>0</v>
      </c>
      <c r="U80" s="28">
        <f>AB12*M$64</f>
        <v>0</v>
      </c>
      <c r="V80" s="28">
        <f>AC12*N$64</f>
        <v>0</v>
      </c>
      <c r="AD80" s="5"/>
      <c r="AE80" s="5"/>
    </row>
    <row r="81" spans="1:31" ht="15.75" customHeight="1">
      <c r="A81" s="35" t="str">
        <f t="shared" si="64"/>
        <v>DevOps</v>
      </c>
      <c r="B81" s="28">
        <f>B29+Q43+Q61+Q79</f>
        <v>252.67065868263472</v>
      </c>
      <c r="C81" s="28">
        <f>C29+R43+R61+R79</f>
        <v>270.71856287425146</v>
      </c>
      <c r="D81" s="28">
        <f>D29+S43+S61+S79</f>
        <v>270.71856287425146</v>
      </c>
      <c r="E81" s="28">
        <f>E29+T43+T61+T79</f>
        <v>270.71856287425146</v>
      </c>
      <c r="F81" s="28">
        <f>F29+U43+U61+U79</f>
        <v>270.71856287425146</v>
      </c>
      <c r="G81" s="28">
        <f>G29+V43+V61+V79</f>
        <v>270.71856287425146</v>
      </c>
      <c r="H81" s="28">
        <f t="shared" ref="D81:N81" si="71">H29+W43+W61+AD79</f>
        <v>270.71856287425146</v>
      </c>
      <c r="I81" s="28">
        <f t="shared" si="71"/>
        <v>270.71856287425146</v>
      </c>
      <c r="J81" s="28">
        <f t="shared" si="71"/>
        <v>270.71856287425146</v>
      </c>
      <c r="K81" s="28">
        <f t="shared" si="71"/>
        <v>270.71856287425146</v>
      </c>
      <c r="L81" s="28">
        <f t="shared" si="71"/>
        <v>270.71856287425146</v>
      </c>
      <c r="M81" s="28">
        <f t="shared" si="71"/>
        <v>270.71856287425146</v>
      </c>
      <c r="N81" s="28">
        <f t="shared" si="71"/>
        <v>270.71856287425146</v>
      </c>
      <c r="O81" s="5"/>
      <c r="P81" s="17" t="str">
        <f>P63</f>
        <v>Arquitecto de Base de Datos</v>
      </c>
      <c r="Q81" s="28">
        <f>Q13*B$64</f>
        <v>0</v>
      </c>
      <c r="R81" s="28">
        <f>R13*C$64</f>
        <v>0</v>
      </c>
      <c r="S81" s="28">
        <f>W13*K$64</f>
        <v>0</v>
      </c>
      <c r="T81" s="28">
        <f>Z13*L$64</f>
        <v>0</v>
      </c>
      <c r="U81" s="28">
        <f>AB13*M$64</f>
        <v>0</v>
      </c>
      <c r="V81" s="28">
        <f>AC13*N$64</f>
        <v>0</v>
      </c>
      <c r="AD81" s="5"/>
      <c r="AE81" s="5"/>
    </row>
    <row r="82" spans="1:31" ht="15.75" customHeight="1">
      <c r="A82" s="35" t="str">
        <f t="shared" si="64"/>
        <v>Responsable de Seguridad</v>
      </c>
      <c r="B82" s="28">
        <f>B30+Q44+Q62+Q80</f>
        <v>251.33333333333334</v>
      </c>
      <c r="C82" s="28">
        <f>C30+R44+R62+R80</f>
        <v>269.28571428571428</v>
      </c>
      <c r="D82" s="28">
        <f>D30+S44+S62+S80</f>
        <v>269.28571428571428</v>
      </c>
      <c r="E82" s="28">
        <f>E30+T44+T62+T80</f>
        <v>269.28571428571428</v>
      </c>
      <c r="F82" s="28">
        <f>F30+U44+U62+U80</f>
        <v>269.28571428571428</v>
      </c>
      <c r="G82" s="28">
        <f>G30+V44+V62+V80</f>
        <v>269.28571428571428</v>
      </c>
      <c r="H82" s="28">
        <f t="shared" ref="D82:N82" si="72">H30+W44+W62+AD80</f>
        <v>269.28571428571428</v>
      </c>
      <c r="I82" s="28">
        <f t="shared" si="72"/>
        <v>269.28571428571428</v>
      </c>
      <c r="J82" s="28">
        <f t="shared" si="72"/>
        <v>269.28571428571428</v>
      </c>
      <c r="K82" s="28">
        <f t="shared" si="72"/>
        <v>269.28571428571428</v>
      </c>
      <c r="L82" s="28">
        <f t="shared" si="72"/>
        <v>269.28571428571428</v>
      </c>
      <c r="M82" s="28">
        <f t="shared" si="72"/>
        <v>269.28571428571428</v>
      </c>
      <c r="N82" s="28">
        <f t="shared" si="72"/>
        <v>269.28571428571428</v>
      </c>
      <c r="O82" s="5"/>
      <c r="P82" s="17" t="str">
        <f>P64</f>
        <v>Desarrollador Backend</v>
      </c>
      <c r="Q82" s="28">
        <f>Q14*B$64</f>
        <v>150.72872434243948</v>
      </c>
      <c r="R82" s="28">
        <f>R14*C$64</f>
        <v>161.49506179547086</v>
      </c>
      <c r="S82" s="28">
        <f>W14*K$64</f>
        <v>161.49506179547086</v>
      </c>
      <c r="T82" s="28">
        <f>Z14*L$64</f>
        <v>161.49506179547086</v>
      </c>
      <c r="U82" s="28">
        <f>AB14*M$64</f>
        <v>161.49506179547086</v>
      </c>
      <c r="V82" s="28">
        <f>AC14*N$64</f>
        <v>161.49506179547086</v>
      </c>
      <c r="AD82" s="5"/>
      <c r="AE82" s="5"/>
    </row>
    <row r="83" spans="1:31" ht="15.75" customHeight="1">
      <c r="A83" s="35" t="str">
        <f t="shared" si="64"/>
        <v>Arquitecto de Base de Datos</v>
      </c>
      <c r="B83" s="28">
        <f>B31+Q45+Q63+Q81</f>
        <v>157.5</v>
      </c>
      <c r="C83" s="28">
        <f>C31+R45+R63+R81</f>
        <v>168.75</v>
      </c>
      <c r="D83" s="28">
        <f>D31+S45+S63+S81</f>
        <v>168.75</v>
      </c>
      <c r="E83" s="28">
        <f>E31+T45+T63+T81</f>
        <v>168.75</v>
      </c>
      <c r="F83" s="28">
        <f>F31+U45+U63+U81</f>
        <v>168.75</v>
      </c>
      <c r="G83" s="28">
        <f>G31+V45+V63+V81</f>
        <v>168.75</v>
      </c>
      <c r="H83" s="28">
        <f t="shared" ref="D83:N83" si="73">H31+W45+AD63+AD81</f>
        <v>168.75</v>
      </c>
      <c r="I83" s="28">
        <f t="shared" si="73"/>
        <v>168.75</v>
      </c>
      <c r="J83" s="28">
        <f t="shared" si="73"/>
        <v>168.75</v>
      </c>
      <c r="K83" s="28">
        <f t="shared" si="73"/>
        <v>168.75</v>
      </c>
      <c r="L83" s="28">
        <f t="shared" si="73"/>
        <v>168.75</v>
      </c>
      <c r="M83" s="28">
        <f t="shared" si="73"/>
        <v>168.75</v>
      </c>
      <c r="N83" s="28">
        <f t="shared" si="73"/>
        <v>168.75</v>
      </c>
      <c r="O83" s="5"/>
      <c r="P83" s="17" t="str">
        <f>P65</f>
        <v>Desarrollador Frontend</v>
      </c>
      <c r="Q83" s="28">
        <f>Q15*B$64</f>
        <v>150.72872434243948</v>
      </c>
      <c r="R83" s="28">
        <f>R15*C$64</f>
        <v>161.49506179547086</v>
      </c>
      <c r="S83" s="28">
        <f>W15*K$64</f>
        <v>161.49506179547086</v>
      </c>
      <c r="T83" s="28">
        <f>Z15*L$64</f>
        <v>161.49506179547086</v>
      </c>
      <c r="U83" s="28">
        <f>AB15*M$64</f>
        <v>161.49506179547086</v>
      </c>
      <c r="V83" s="28">
        <f>AC15*N$64</f>
        <v>161.49506179547086</v>
      </c>
      <c r="AD83" s="5"/>
      <c r="AE83" s="5"/>
    </row>
    <row r="84" spans="1:31" ht="15.75" customHeight="1">
      <c r="A84" s="35" t="str">
        <f t="shared" si="64"/>
        <v>Desarrollador Backend</v>
      </c>
      <c r="B84" s="28">
        <f>B32+Q46+Q64+Q82</f>
        <v>483.77258094851254</v>
      </c>
      <c r="C84" s="28">
        <f>C32+R46+R64+R82</f>
        <v>518.32776530197771</v>
      </c>
      <c r="D84" s="28">
        <f>D32+S46+S64+S82</f>
        <v>518.32776530197771</v>
      </c>
      <c r="E84" s="28">
        <f>E32+T46+T64+T82</f>
        <v>518.32776530197771</v>
      </c>
      <c r="F84" s="28">
        <f>F32+U46+U64+U82</f>
        <v>518.32776530197771</v>
      </c>
      <c r="G84" s="28">
        <f>G32+V46+V64+V82</f>
        <v>518.32776530197771</v>
      </c>
      <c r="H84" s="28">
        <f t="shared" ref="D84:N84" si="74">H32+W46+AD64+AD82</f>
        <v>225</v>
      </c>
      <c r="I84" s="28">
        <f t="shared" si="74"/>
        <v>225</v>
      </c>
      <c r="J84" s="28">
        <f t="shared" si="74"/>
        <v>225</v>
      </c>
      <c r="K84" s="28">
        <f t="shared" si="74"/>
        <v>225</v>
      </c>
      <c r="L84" s="28">
        <f t="shared" si="74"/>
        <v>225</v>
      </c>
      <c r="M84" s="28">
        <f t="shared" si="74"/>
        <v>225</v>
      </c>
      <c r="N84" s="28">
        <f t="shared" si="74"/>
        <v>225</v>
      </c>
      <c r="O84" s="5"/>
      <c r="P84" s="17" t="str">
        <f>P66</f>
        <v>QA Consultant</v>
      </c>
      <c r="Q84" s="28">
        <f>Q16*B$64</f>
        <v>150.72872434243948</v>
      </c>
      <c r="R84" s="28">
        <f>R16*C$64</f>
        <v>161.49506179547086</v>
      </c>
      <c r="S84" s="28">
        <f>W16*K$64</f>
        <v>161.49506179547086</v>
      </c>
      <c r="T84" s="28">
        <f>Z16*L$64</f>
        <v>161.49506179547086</v>
      </c>
      <c r="U84" s="28">
        <f>AB16*M$64</f>
        <v>161.49506179547086</v>
      </c>
      <c r="V84" s="28">
        <f>AC16*N$64</f>
        <v>161.49506179547086</v>
      </c>
      <c r="AD84" s="5"/>
      <c r="AE84" s="5"/>
    </row>
    <row r="85" spans="1:31" ht="15.75" customHeight="1">
      <c r="A85" s="35" t="str">
        <f t="shared" si="64"/>
        <v>Desarrollador Frontend</v>
      </c>
      <c r="B85" s="28">
        <f>B33+Q47+Q65+Q83</f>
        <v>466.27258094851254</v>
      </c>
      <c r="C85" s="28">
        <f>C33+R47+R65+R83</f>
        <v>499.57776530197771</v>
      </c>
      <c r="D85" s="28">
        <f>D33+S47+S65+S83</f>
        <v>499.57776530197771</v>
      </c>
      <c r="E85" s="28">
        <f>E33+T47+T65+T83</f>
        <v>499.57776530197771</v>
      </c>
      <c r="F85" s="28">
        <f>F33+U47+U65+U83</f>
        <v>499.57776530197771</v>
      </c>
      <c r="G85" s="28">
        <f>G33+V47+V65+V83</f>
        <v>499.57776530197771</v>
      </c>
      <c r="H85" s="28">
        <f t="shared" ref="D85:N85" si="75">H33+W47+W65+AD83</f>
        <v>206.25</v>
      </c>
      <c r="I85" s="28">
        <f t="shared" si="75"/>
        <v>206.25</v>
      </c>
      <c r="J85" s="28">
        <f t="shared" si="75"/>
        <v>206.25</v>
      </c>
      <c r="K85" s="28">
        <f t="shared" si="75"/>
        <v>206.25</v>
      </c>
      <c r="L85" s="28">
        <f t="shared" si="75"/>
        <v>206.25</v>
      </c>
      <c r="M85" s="28">
        <f t="shared" si="75"/>
        <v>206.25</v>
      </c>
      <c r="N85" s="28">
        <f t="shared" si="75"/>
        <v>206.25</v>
      </c>
      <c r="O85" s="5"/>
      <c r="P85" s="17" t="str">
        <f>P67</f>
        <v>Soporte</v>
      </c>
      <c r="Q85" s="28">
        <f>Q17*B$64</f>
        <v>150.72872434243948</v>
      </c>
      <c r="R85" s="28">
        <f>R17*C$64</f>
        <v>161.49506179547086</v>
      </c>
      <c r="S85" s="28">
        <f>W17*K$64</f>
        <v>161.49506179547086</v>
      </c>
      <c r="T85" s="28">
        <f>Z17*L$64</f>
        <v>161.49506179547086</v>
      </c>
      <c r="U85" s="28">
        <f>AB17*M$64</f>
        <v>161.49506179547086</v>
      </c>
      <c r="V85" s="28">
        <f>AC17*N$64</f>
        <v>161.49506179547086</v>
      </c>
      <c r="AD85" s="5"/>
      <c r="AE85" s="5"/>
    </row>
    <row r="86" spans="1:31" ht="15.75" customHeight="1">
      <c r="A86" s="35" t="str">
        <f t="shared" si="64"/>
        <v>QA Consultant</v>
      </c>
      <c r="B86" s="28">
        <f>B34+Q48+Q66+Q84</f>
        <v>466.27258094851254</v>
      </c>
      <c r="C86" s="28">
        <f>C34+R48+R66+R84</f>
        <v>499.57776530197771</v>
      </c>
      <c r="D86" s="28">
        <f>D34+S48+S66+S84</f>
        <v>499.57776530197771</v>
      </c>
      <c r="E86" s="28">
        <f>E34+T48+T66+T84</f>
        <v>499.57776530197771</v>
      </c>
      <c r="F86" s="28">
        <f>F34+U48+U66+U84</f>
        <v>499.57776530197771</v>
      </c>
      <c r="G86" s="28">
        <f>G34+V48+V66+V84</f>
        <v>499.57776530197771</v>
      </c>
      <c r="H86" s="28">
        <f t="shared" ref="D86:N86" si="76">H34+W48+W66+AD84</f>
        <v>206.25</v>
      </c>
      <c r="I86" s="28">
        <f t="shared" si="76"/>
        <v>206.25</v>
      </c>
      <c r="J86" s="28">
        <f t="shared" si="76"/>
        <v>206.25</v>
      </c>
      <c r="K86" s="28">
        <f t="shared" si="76"/>
        <v>206.25</v>
      </c>
      <c r="L86" s="28">
        <f t="shared" si="76"/>
        <v>206.25</v>
      </c>
      <c r="M86" s="28">
        <f t="shared" si="76"/>
        <v>206.25</v>
      </c>
      <c r="N86" s="28">
        <f t="shared" si="76"/>
        <v>206.25</v>
      </c>
      <c r="O86" s="5"/>
      <c r="P86" s="5"/>
      <c r="Q86" s="5"/>
      <c r="R86" s="5"/>
      <c r="S86" s="5"/>
      <c r="T86" s="5"/>
      <c r="U86" s="5"/>
      <c r="V86" s="5"/>
      <c r="W86" s="5"/>
      <c r="X86" s="5"/>
      <c r="Y86" s="5"/>
      <c r="Z86" s="5"/>
      <c r="AA86" s="5"/>
      <c r="AB86" s="5"/>
      <c r="AC86" s="5"/>
      <c r="AD86" s="5"/>
      <c r="AE86" s="5"/>
    </row>
    <row r="87" spans="1:31" ht="15.75" customHeight="1">
      <c r="A87" s="35" t="str">
        <f t="shared" si="64"/>
        <v>Soporte</v>
      </c>
      <c r="B87" s="28">
        <f>B35+Q49+Q67+Q85</f>
        <v>466.27258094851254</v>
      </c>
      <c r="C87" s="28">
        <f>C35+R49+R67+R85</f>
        <v>499.57776530197771</v>
      </c>
      <c r="D87" s="28">
        <f>D35+S49+S67+S85</f>
        <v>499.57776530197771</v>
      </c>
      <c r="E87" s="28">
        <f>E35+T49+T67+T85</f>
        <v>499.57776530197771</v>
      </c>
      <c r="F87" s="28">
        <f>F35+U49+U67+U85</f>
        <v>499.57776530197771</v>
      </c>
      <c r="G87" s="28">
        <f>G35+V49+V67+V85</f>
        <v>499.57776530197771</v>
      </c>
      <c r="H87" s="28">
        <f>H35+W49+W67+AD85</f>
        <v>206.25</v>
      </c>
      <c r="I87" s="28">
        <f>I35+X49+X67+AE85</f>
        <v>206.25</v>
      </c>
      <c r="J87" s="28">
        <f>J35+Y49+Y67+AF85</f>
        <v>206.25</v>
      </c>
      <c r="K87" s="28">
        <f>K35+Z49+Z67+AG85</f>
        <v>206.25</v>
      </c>
      <c r="L87" s="28">
        <f>L35+AA49+AA67+AH85</f>
        <v>206.25</v>
      </c>
      <c r="M87" s="28">
        <f>M35+AB49+AB67+AI85</f>
        <v>206.25</v>
      </c>
      <c r="N87" s="28">
        <f>N35+AC49+AC67+AJ85</f>
        <v>206.25</v>
      </c>
      <c r="O87" s="5"/>
      <c r="P87" s="5"/>
      <c r="Q87" s="5"/>
      <c r="R87" s="5"/>
      <c r="S87" s="5"/>
      <c r="T87" s="5"/>
      <c r="U87" s="5"/>
      <c r="V87" s="5"/>
      <c r="W87" s="5"/>
      <c r="X87" s="5"/>
      <c r="Y87" s="5"/>
      <c r="Z87" s="5"/>
      <c r="AA87" s="5"/>
      <c r="AB87" s="5"/>
      <c r="AC87" s="5"/>
      <c r="AD87" s="5"/>
      <c r="AE87" s="5"/>
    </row>
    <row r="88" spans="1:31" ht="15.75" customHeight="1" thickBot="1">
      <c r="A88" s="36" t="s">
        <v>33</v>
      </c>
      <c r="B88" s="37">
        <f>SUM(B74:B87)</f>
        <v>5487.9430478521454</v>
      </c>
      <c r="C88" s="37">
        <f>SUM(C74:C87)</f>
        <v>5879.9389798415832</v>
      </c>
      <c r="D88" s="37">
        <f t="shared" ref="D88:N88" si="77">SUM(D74:D87)</f>
        <v>5879.9389798415832</v>
      </c>
      <c r="E88" s="37">
        <f t="shared" si="77"/>
        <v>5879.9389798415832</v>
      </c>
      <c r="F88" s="37">
        <f t="shared" si="77"/>
        <v>5879.9389798415832</v>
      </c>
      <c r="G88" s="37">
        <f t="shared" si="77"/>
        <v>5879.9389798415832</v>
      </c>
      <c r="H88" s="37">
        <f t="shared" si="77"/>
        <v>3826.6446227277393</v>
      </c>
      <c r="I88" s="37">
        <f t="shared" si="77"/>
        <v>3826.6446227277393</v>
      </c>
      <c r="J88" s="37">
        <f t="shared" si="77"/>
        <v>3826.6446227277393</v>
      </c>
      <c r="K88" s="37">
        <f t="shared" si="77"/>
        <v>3826.6446227277393</v>
      </c>
      <c r="L88" s="37">
        <f t="shared" si="77"/>
        <v>3826.6446227277393</v>
      </c>
      <c r="M88" s="37">
        <f t="shared" si="77"/>
        <v>3826.6446227277393</v>
      </c>
      <c r="N88" s="37">
        <f t="shared" si="77"/>
        <v>3826.6446227277393</v>
      </c>
      <c r="O88" s="5"/>
      <c r="P88" s="5"/>
      <c r="Q88" s="5"/>
      <c r="R88" s="5"/>
      <c r="S88" s="5"/>
      <c r="T88" s="5"/>
      <c r="U88" s="5"/>
      <c r="V88" s="5"/>
      <c r="W88" s="5"/>
      <c r="X88" s="5"/>
      <c r="Y88" s="5"/>
      <c r="Z88" s="5"/>
      <c r="AA88" s="5"/>
      <c r="AB88" s="5"/>
      <c r="AC88" s="5"/>
      <c r="AD88" s="5"/>
      <c r="AE88" s="5"/>
    </row>
    <row r="89" spans="1:31" ht="15.75" customHeight="1" thickBot="1">
      <c r="A89" s="5"/>
      <c r="B89" s="5"/>
      <c r="C89" s="5"/>
      <c r="D89" s="5"/>
      <c r="E89" s="5"/>
      <c r="F89" s="5"/>
      <c r="G89" s="5"/>
      <c r="H89" s="5"/>
      <c r="I89" s="5"/>
      <c r="J89" s="5"/>
      <c r="K89" s="5"/>
      <c r="L89" s="5"/>
      <c r="M89" s="5"/>
      <c r="N89" s="5"/>
      <c r="O89" s="5"/>
      <c r="P89" s="5"/>
      <c r="Q89" s="5"/>
      <c r="R89" s="5"/>
      <c r="S89" s="5"/>
      <c r="T89" s="5"/>
      <c r="U89" s="5"/>
      <c r="V89" s="5"/>
      <c r="W89" s="5"/>
      <c r="X89" s="5"/>
    </row>
    <row r="90" spans="1:31" ht="15.75" customHeight="1" thickBot="1">
      <c r="A90" s="125" t="s">
        <v>34</v>
      </c>
      <c r="B90" s="126"/>
      <c r="C90" s="5"/>
      <c r="D90" s="5"/>
      <c r="E90" s="5"/>
      <c r="F90" s="5"/>
      <c r="G90" s="5"/>
      <c r="H90" s="5"/>
      <c r="I90" s="5"/>
      <c r="J90" s="5"/>
      <c r="K90" s="5"/>
      <c r="L90" s="5"/>
      <c r="M90" s="5"/>
      <c r="N90" s="5"/>
      <c r="O90" s="5"/>
      <c r="P90" s="5"/>
      <c r="Q90" s="5"/>
      <c r="R90" s="5"/>
      <c r="S90" s="5"/>
      <c r="T90" s="5"/>
      <c r="U90" s="5"/>
      <c r="V90" s="5"/>
      <c r="W90" s="5"/>
      <c r="X90" s="5"/>
    </row>
    <row r="91" spans="1:31" ht="15.75" customHeight="1">
      <c r="A91" s="38" t="str">
        <f>A74</f>
        <v>Project Manager</v>
      </c>
      <c r="B91" s="39">
        <v>50000</v>
      </c>
      <c r="C91" s="5"/>
      <c r="D91" s="5"/>
      <c r="E91" s="5"/>
      <c r="F91" s="5"/>
      <c r="G91" s="5"/>
      <c r="H91" s="5"/>
      <c r="I91" s="5"/>
      <c r="J91" s="5"/>
      <c r="K91" s="5"/>
      <c r="L91" s="5"/>
      <c r="M91" s="5"/>
      <c r="N91" s="5"/>
      <c r="O91" s="5"/>
      <c r="P91" s="5"/>
      <c r="Q91" s="5"/>
      <c r="R91" s="5"/>
      <c r="S91" s="5"/>
      <c r="T91" s="5"/>
      <c r="U91" s="5"/>
      <c r="V91" s="5"/>
      <c r="W91" s="5"/>
      <c r="X91" s="5"/>
    </row>
    <row r="92" spans="1:31" ht="15.75" customHeight="1">
      <c r="A92" s="38" t="str">
        <f t="shared" ref="A92:A104" si="78">A75</f>
        <v>Analista Funcional</v>
      </c>
      <c r="B92" s="39">
        <v>50001</v>
      </c>
      <c r="C92" s="5"/>
      <c r="D92" s="5"/>
      <c r="E92" s="5"/>
      <c r="F92" s="5"/>
      <c r="G92" s="5"/>
      <c r="H92" s="5"/>
      <c r="I92" s="5"/>
      <c r="J92" s="5"/>
      <c r="K92" s="5"/>
      <c r="L92" s="5"/>
      <c r="M92" s="5"/>
      <c r="N92" s="5"/>
      <c r="O92" s="5"/>
      <c r="P92" s="5"/>
      <c r="Q92" s="5"/>
      <c r="R92" s="5"/>
      <c r="S92" s="5"/>
      <c r="T92" s="5"/>
      <c r="U92" s="5"/>
      <c r="V92" s="5"/>
      <c r="W92" s="5"/>
      <c r="X92" s="5"/>
    </row>
    <row r="93" spans="1:31" ht="15.75" customHeight="1">
      <c r="A93" s="38" t="str">
        <f t="shared" si="78"/>
        <v>Sponsor</v>
      </c>
      <c r="B93" s="39">
        <v>50002</v>
      </c>
      <c r="C93" s="5"/>
      <c r="D93" s="5"/>
      <c r="E93" s="5"/>
      <c r="F93" s="5"/>
      <c r="G93" s="5"/>
      <c r="H93" s="5"/>
      <c r="I93" s="5"/>
      <c r="J93" s="5"/>
      <c r="K93" s="5"/>
      <c r="L93" s="5"/>
      <c r="M93" s="5"/>
      <c r="N93" s="5"/>
      <c r="O93" s="5"/>
      <c r="P93" s="5"/>
      <c r="Q93" s="5"/>
      <c r="R93" s="5"/>
      <c r="S93" s="5"/>
      <c r="T93" s="5"/>
      <c r="U93" s="5"/>
      <c r="V93" s="5"/>
      <c r="W93" s="5"/>
      <c r="X93" s="5"/>
    </row>
    <row r="94" spans="1:31" ht="15.75" customHeight="1">
      <c r="A94" s="38" t="str">
        <f t="shared" si="78"/>
        <v>Institución Piloto</v>
      </c>
      <c r="B94" s="39">
        <v>50003</v>
      </c>
      <c r="C94" s="5"/>
      <c r="D94" s="5"/>
      <c r="E94" s="5"/>
      <c r="F94" s="5"/>
      <c r="G94" s="5"/>
      <c r="H94" s="5"/>
      <c r="I94" s="5"/>
      <c r="J94" s="5"/>
      <c r="K94" s="5"/>
      <c r="L94" s="5"/>
      <c r="M94" s="5"/>
      <c r="N94" s="5"/>
      <c r="O94" s="5"/>
      <c r="P94" s="5"/>
      <c r="Q94" s="5"/>
      <c r="R94" s="5"/>
      <c r="S94" s="5"/>
      <c r="T94" s="5"/>
      <c r="U94" s="5"/>
      <c r="V94" s="5"/>
      <c r="W94" s="5"/>
      <c r="X94" s="5"/>
    </row>
    <row r="95" spans="1:31" ht="15.75" customHeight="1">
      <c r="A95" s="38" t="str">
        <f t="shared" si="78"/>
        <v>Product Owner</v>
      </c>
      <c r="B95" s="39">
        <v>50004</v>
      </c>
      <c r="C95" s="5"/>
      <c r="D95" s="5"/>
      <c r="E95" s="5"/>
      <c r="F95" s="5"/>
      <c r="G95" s="5"/>
      <c r="H95" s="5"/>
      <c r="I95" s="5"/>
      <c r="J95" s="5"/>
      <c r="K95" s="5"/>
      <c r="L95" s="5"/>
      <c r="M95" s="5"/>
      <c r="N95" s="5"/>
      <c r="O95" s="5"/>
      <c r="P95" s="5"/>
      <c r="Q95" s="5"/>
      <c r="R95" s="5"/>
      <c r="S95" s="5"/>
      <c r="T95" s="5"/>
      <c r="U95" s="5"/>
      <c r="V95" s="5"/>
      <c r="W95" s="5"/>
      <c r="X95" s="5"/>
    </row>
    <row r="96" spans="1:31" ht="15.75" customHeight="1">
      <c r="A96" s="38" t="str">
        <f t="shared" si="78"/>
        <v>Finanzas</v>
      </c>
      <c r="B96" s="39">
        <v>50005</v>
      </c>
      <c r="C96" s="5"/>
      <c r="D96" s="5"/>
      <c r="E96" s="5"/>
      <c r="F96" s="5"/>
      <c r="G96" s="5"/>
      <c r="H96" s="5"/>
      <c r="I96" s="5"/>
      <c r="J96" s="5"/>
      <c r="K96" s="5"/>
      <c r="L96" s="5"/>
      <c r="M96" s="5"/>
      <c r="N96" s="5"/>
      <c r="O96" s="5"/>
      <c r="P96" s="5"/>
      <c r="Q96" s="5"/>
      <c r="R96" s="5"/>
      <c r="S96" s="5"/>
      <c r="T96" s="5"/>
      <c r="U96" s="5"/>
      <c r="V96" s="5"/>
      <c r="W96" s="5"/>
      <c r="X96" s="5"/>
    </row>
    <row r="97" spans="1:31" ht="15.75" customHeight="1">
      <c r="A97" s="38" t="str">
        <f t="shared" si="78"/>
        <v>Arquitecto de Software</v>
      </c>
      <c r="B97" s="39">
        <v>50006</v>
      </c>
      <c r="C97" s="5"/>
      <c r="D97" s="5"/>
      <c r="E97" s="5"/>
      <c r="F97" s="5"/>
      <c r="G97" s="5"/>
      <c r="H97" s="5"/>
      <c r="I97" s="5"/>
      <c r="J97" s="5"/>
      <c r="K97" s="5"/>
      <c r="L97" s="5"/>
      <c r="M97" s="5"/>
      <c r="N97" s="5"/>
      <c r="O97" s="5"/>
      <c r="P97" s="5"/>
      <c r="Q97" s="5"/>
      <c r="R97" s="5"/>
      <c r="S97" s="5"/>
      <c r="T97" s="5"/>
      <c r="U97" s="5"/>
      <c r="V97" s="5"/>
      <c r="W97" s="5"/>
      <c r="X97" s="5"/>
    </row>
    <row r="98" spans="1:31" ht="15.75" customHeight="1">
      <c r="A98" s="38" t="str">
        <f t="shared" si="78"/>
        <v>DevOps</v>
      </c>
      <c r="B98" s="39">
        <v>50007</v>
      </c>
      <c r="C98" s="5"/>
      <c r="D98" s="5"/>
      <c r="E98" s="5"/>
      <c r="F98" s="5"/>
      <c r="G98" s="5"/>
      <c r="H98" s="5"/>
      <c r="I98" s="5"/>
      <c r="J98" s="5"/>
      <c r="K98" s="5"/>
      <c r="L98" s="5"/>
      <c r="M98" s="5"/>
      <c r="N98" s="5"/>
      <c r="O98" s="5"/>
      <c r="P98" s="5"/>
      <c r="Q98" s="5"/>
      <c r="R98" s="5"/>
      <c r="S98" s="5"/>
      <c r="T98" s="5"/>
      <c r="U98" s="5"/>
      <c r="V98" s="5"/>
      <c r="W98" s="5"/>
      <c r="X98" s="5"/>
    </row>
    <row r="99" spans="1:31" ht="15.75" customHeight="1">
      <c r="A99" s="38" t="str">
        <f t="shared" si="78"/>
        <v>Responsable de Seguridad</v>
      </c>
      <c r="B99" s="39">
        <v>50008</v>
      </c>
      <c r="H99" s="5"/>
      <c r="I99" s="5"/>
      <c r="J99" s="5"/>
      <c r="K99" s="5"/>
      <c r="L99" s="5"/>
      <c r="M99" s="5"/>
      <c r="N99" s="5"/>
      <c r="O99" s="5"/>
      <c r="P99" s="5"/>
      <c r="Q99" s="5"/>
      <c r="R99" s="5"/>
      <c r="S99" s="5"/>
      <c r="T99" s="5"/>
      <c r="U99" s="5"/>
      <c r="V99" s="5"/>
      <c r="W99" s="5"/>
      <c r="X99" s="5"/>
    </row>
    <row r="100" spans="1:31" ht="15.75" customHeight="1">
      <c r="A100" s="38" t="str">
        <f t="shared" si="78"/>
        <v>Arquitecto de Base de Datos</v>
      </c>
      <c r="B100" s="39">
        <v>50009</v>
      </c>
      <c r="H100" s="5"/>
      <c r="I100" s="5"/>
      <c r="J100" s="5"/>
      <c r="K100" s="5"/>
      <c r="L100" s="5"/>
      <c r="M100" s="5"/>
      <c r="N100" s="5"/>
      <c r="O100" s="5"/>
      <c r="P100" s="5"/>
      <c r="Q100" s="5"/>
      <c r="R100" s="5"/>
      <c r="S100" s="5"/>
      <c r="T100" s="5"/>
      <c r="U100" s="5"/>
      <c r="V100" s="5"/>
      <c r="W100" s="5"/>
      <c r="X100" s="5"/>
    </row>
    <row r="101" spans="1:31" ht="15.75" customHeight="1">
      <c r="A101" s="38" t="str">
        <f t="shared" si="78"/>
        <v>Desarrollador Backend</v>
      </c>
      <c r="B101" s="39">
        <v>50010</v>
      </c>
      <c r="H101" s="5"/>
      <c r="I101" s="5"/>
      <c r="J101" s="5"/>
      <c r="K101" s="5"/>
      <c r="L101" s="5"/>
      <c r="M101" s="5"/>
      <c r="N101" s="5"/>
      <c r="O101" s="5"/>
      <c r="P101" s="5"/>
      <c r="Q101" s="5"/>
      <c r="R101" s="5"/>
      <c r="S101" s="5"/>
      <c r="T101" s="5"/>
      <c r="U101" s="5"/>
      <c r="V101" s="5"/>
      <c r="W101" s="5"/>
      <c r="X101" s="5"/>
    </row>
    <row r="102" spans="1:31" ht="15.75" customHeight="1" thickBot="1">
      <c r="A102" s="38" t="str">
        <f t="shared" si="78"/>
        <v>Desarrollador Frontend</v>
      </c>
      <c r="B102" s="39">
        <v>50011</v>
      </c>
      <c r="H102" s="5"/>
      <c r="I102" s="5"/>
      <c r="J102" s="5"/>
      <c r="K102" s="5"/>
      <c r="L102" s="5"/>
      <c r="M102" s="5"/>
      <c r="N102" s="5"/>
      <c r="O102" s="5"/>
      <c r="P102" s="5"/>
      <c r="Q102" s="5"/>
      <c r="R102" s="5"/>
      <c r="S102" s="5"/>
      <c r="T102" s="5"/>
      <c r="U102" s="5"/>
      <c r="V102" s="5"/>
      <c r="W102" s="5"/>
      <c r="X102" s="5"/>
    </row>
    <row r="103" spans="1:31" ht="15.75" customHeight="1" thickBot="1">
      <c r="A103" s="38" t="str">
        <f t="shared" si="78"/>
        <v>QA Consultant</v>
      </c>
      <c r="B103" s="39">
        <v>50012</v>
      </c>
      <c r="C103" s="106"/>
      <c r="D103" s="106"/>
      <c r="E103" s="106"/>
      <c r="F103" s="106"/>
      <c r="G103" s="106"/>
      <c r="H103" s="5"/>
      <c r="I103" s="5"/>
      <c r="J103" s="5"/>
      <c r="K103" s="5"/>
      <c r="L103" s="5"/>
      <c r="M103" s="5"/>
      <c r="N103" s="5"/>
      <c r="O103" s="5"/>
      <c r="P103" s="5"/>
      <c r="Q103" s="5"/>
      <c r="R103" s="5"/>
      <c r="S103" s="5"/>
      <c r="T103" s="5"/>
      <c r="U103" s="5"/>
      <c r="V103" s="5"/>
      <c r="W103" s="5"/>
      <c r="X103" s="5"/>
    </row>
    <row r="104" spans="1:31" ht="15.75" customHeight="1">
      <c r="A104" s="38" t="str">
        <f t="shared" si="78"/>
        <v>Soporte</v>
      </c>
      <c r="B104" s="39">
        <v>50013</v>
      </c>
      <c r="H104" s="5"/>
      <c r="I104" s="5"/>
      <c r="J104" s="5"/>
      <c r="K104" s="5"/>
      <c r="L104" s="5"/>
      <c r="M104" s="5"/>
      <c r="N104" s="5"/>
      <c r="O104" s="5"/>
      <c r="P104" s="5"/>
      <c r="Q104" s="5"/>
      <c r="R104" s="5"/>
      <c r="S104" s="5"/>
      <c r="T104" s="5"/>
      <c r="U104" s="5"/>
      <c r="V104" s="5"/>
      <c r="W104" s="5"/>
      <c r="X104" s="5"/>
    </row>
    <row r="105" spans="1:31" ht="15.75" customHeight="1" thickBot="1">
      <c r="A105" s="40" t="s">
        <v>33</v>
      </c>
      <c r="B105" s="41">
        <f>SUM(B91:B104)</f>
        <v>700091</v>
      </c>
      <c r="H105" s="5"/>
      <c r="I105" s="5"/>
      <c r="J105" s="5"/>
      <c r="K105" s="5"/>
      <c r="L105" s="5"/>
      <c r="M105" s="5"/>
      <c r="N105" s="5"/>
      <c r="O105" s="5"/>
      <c r="P105" s="5"/>
      <c r="Q105" s="5"/>
      <c r="R105" s="5"/>
      <c r="S105" s="5"/>
      <c r="T105" s="5"/>
      <c r="U105" s="5"/>
      <c r="V105" s="5"/>
      <c r="W105" s="5"/>
      <c r="X105" s="5"/>
    </row>
    <row r="106" spans="1:31" ht="15.75" customHeight="1" thickBot="1">
      <c r="A106" s="42"/>
      <c r="B106" s="32"/>
      <c r="H106" s="5"/>
      <c r="I106" s="5"/>
      <c r="J106" s="5"/>
      <c r="K106" s="5"/>
      <c r="L106" s="5"/>
      <c r="M106" s="5"/>
      <c r="N106" s="5"/>
      <c r="O106" s="5"/>
      <c r="P106" s="5"/>
      <c r="Q106" s="5"/>
      <c r="R106" s="5"/>
      <c r="S106" s="5"/>
      <c r="T106" s="5"/>
      <c r="U106" s="5"/>
      <c r="V106" s="5"/>
      <c r="W106" s="5"/>
      <c r="X106" s="5"/>
    </row>
    <row r="107" spans="1:31" ht="15.75" customHeight="1" thickBot="1">
      <c r="A107" s="105" t="s">
        <v>35</v>
      </c>
      <c r="B107" s="106"/>
      <c r="H107" s="5"/>
      <c r="I107" s="5"/>
      <c r="J107" s="5"/>
      <c r="K107" s="5"/>
      <c r="L107" s="5"/>
      <c r="M107" s="5"/>
      <c r="N107" s="5"/>
      <c r="O107" s="5"/>
      <c r="P107" s="5"/>
      <c r="Q107" s="5"/>
      <c r="R107" s="5"/>
      <c r="S107" s="5"/>
      <c r="T107" s="5"/>
      <c r="U107" s="5"/>
      <c r="V107" s="5"/>
      <c r="W107" s="5"/>
      <c r="X107" s="5"/>
    </row>
    <row r="108" spans="1:31" ht="15.75" customHeight="1">
      <c r="A108" s="43"/>
      <c r="B108" s="44">
        <f>B73</f>
        <v>46113</v>
      </c>
      <c r="C108" s="44">
        <f>C73</f>
        <v>46144</v>
      </c>
      <c r="D108" s="44">
        <f t="shared" ref="D108:N108" si="79">D73</f>
        <v>46175</v>
      </c>
      <c r="E108" s="44">
        <f t="shared" si="79"/>
        <v>46206</v>
      </c>
      <c r="F108" s="44">
        <f t="shared" si="79"/>
        <v>46237</v>
      </c>
      <c r="G108" s="44">
        <f t="shared" si="79"/>
        <v>46268</v>
      </c>
      <c r="H108" s="44">
        <f t="shared" si="79"/>
        <v>46299</v>
      </c>
      <c r="I108" s="44">
        <f t="shared" si="79"/>
        <v>46330</v>
      </c>
      <c r="J108" s="44">
        <f t="shared" si="79"/>
        <v>46361</v>
      </c>
      <c r="K108" s="44">
        <f t="shared" si="79"/>
        <v>46392</v>
      </c>
      <c r="L108" s="44">
        <f t="shared" si="79"/>
        <v>46423</v>
      </c>
      <c r="M108" s="44">
        <f t="shared" si="79"/>
        <v>46454</v>
      </c>
      <c r="N108" s="44">
        <f t="shared" si="79"/>
        <v>46485</v>
      </c>
      <c r="O108" s="5"/>
      <c r="P108" s="5"/>
      <c r="Q108" s="5"/>
      <c r="R108" s="5"/>
      <c r="S108" s="5"/>
      <c r="T108" s="5"/>
      <c r="U108" s="5"/>
      <c r="V108" s="5"/>
      <c r="W108" s="5"/>
      <c r="X108" s="5"/>
      <c r="Y108" s="5"/>
      <c r="Z108" s="5"/>
      <c r="AA108" s="5"/>
      <c r="AB108" s="5"/>
      <c r="AC108" s="5"/>
      <c r="AD108" s="5"/>
      <c r="AE108" s="5"/>
    </row>
    <row r="109" spans="1:31" ht="15.75" customHeight="1">
      <c r="A109" s="45" t="str">
        <f>A74</f>
        <v>Project Manager</v>
      </c>
      <c r="B109" s="46">
        <f>(SUM($B74:$N74)+$B91)*Q$18</f>
        <v>4101.3441221877192</v>
      </c>
      <c r="C109" s="46">
        <f>(SUM($B74:$N74)+$B91)*R$18</f>
        <v>4394.2972737725568</v>
      </c>
      <c r="D109" s="46">
        <f t="shared" ref="D109:N109" si="80">(SUM($B74:$N74)+$B91)*S$18</f>
        <v>4394.2972737725568</v>
      </c>
      <c r="E109" s="46">
        <f t="shared" si="80"/>
        <v>4394.2972737725568</v>
      </c>
      <c r="F109" s="46">
        <f t="shared" si="80"/>
        <v>4394.2972737725568</v>
      </c>
      <c r="G109" s="46">
        <f t="shared" si="80"/>
        <v>4394.2972737725568</v>
      </c>
      <c r="H109" s="46">
        <f t="shared" si="80"/>
        <v>4394.2972737725568</v>
      </c>
      <c r="I109" s="46">
        <f t="shared" si="80"/>
        <v>4394.2972737725568</v>
      </c>
      <c r="J109" s="46">
        <f t="shared" si="80"/>
        <v>4394.2972737725568</v>
      </c>
      <c r="K109" s="46">
        <f t="shared" si="80"/>
        <v>4394.2972737725568</v>
      </c>
      <c r="L109" s="46">
        <f t="shared" si="80"/>
        <v>4394.2972737725568</v>
      </c>
      <c r="M109" s="46">
        <f t="shared" si="80"/>
        <v>4394.2972737725568</v>
      </c>
      <c r="N109" s="46">
        <f t="shared" si="80"/>
        <v>4394.2972737725568</v>
      </c>
      <c r="O109" s="5"/>
      <c r="P109" s="5"/>
      <c r="Q109" s="5"/>
      <c r="R109" s="5"/>
      <c r="S109" s="5"/>
      <c r="T109" s="5"/>
      <c r="U109" s="5"/>
      <c r="V109" s="5"/>
      <c r="W109" s="5"/>
      <c r="X109" s="5"/>
      <c r="Y109" s="5"/>
      <c r="Z109" s="5"/>
      <c r="AA109" s="5"/>
      <c r="AB109" s="5"/>
      <c r="AC109" s="5"/>
      <c r="AD109" s="5"/>
      <c r="AE109" s="5"/>
    </row>
    <row r="110" spans="1:31" ht="15.75" customHeight="1">
      <c r="A110" s="45" t="str">
        <f>A82</f>
        <v>Responsable de Seguridad</v>
      </c>
      <c r="B110" s="46">
        <f>(SUM($B82:$N82)+$B96)*Q$18</f>
        <v>3859.9415807560131</v>
      </c>
      <c r="C110" s="46">
        <f>(SUM($B82:$N82)+$B96)*R$18</f>
        <v>4135.6516936671578</v>
      </c>
      <c r="D110" s="46">
        <f t="shared" ref="D110:N110" si="81">(SUM($B82:$N82)+$B96)*S$18</f>
        <v>4135.6516936671578</v>
      </c>
      <c r="E110" s="46">
        <f t="shared" si="81"/>
        <v>4135.6516936671578</v>
      </c>
      <c r="F110" s="46">
        <f t="shared" si="81"/>
        <v>4135.6516936671578</v>
      </c>
      <c r="G110" s="46">
        <f t="shared" si="81"/>
        <v>4135.6516936671578</v>
      </c>
      <c r="H110" s="46">
        <f t="shared" si="81"/>
        <v>4135.6516936671578</v>
      </c>
      <c r="I110" s="46">
        <f t="shared" si="81"/>
        <v>4135.6516936671578</v>
      </c>
      <c r="J110" s="46">
        <f t="shared" si="81"/>
        <v>4135.6516936671578</v>
      </c>
      <c r="K110" s="46">
        <f t="shared" si="81"/>
        <v>4135.6516936671578</v>
      </c>
      <c r="L110" s="46">
        <f t="shared" si="81"/>
        <v>4135.6516936671578</v>
      </c>
      <c r="M110" s="46">
        <f t="shared" si="81"/>
        <v>4135.6516936671578</v>
      </c>
      <c r="N110" s="46">
        <f t="shared" si="81"/>
        <v>4135.6516936671578</v>
      </c>
      <c r="O110" s="5"/>
      <c r="P110" s="5"/>
      <c r="Q110" s="5"/>
      <c r="R110" s="5"/>
      <c r="S110" s="5"/>
      <c r="T110" s="5"/>
      <c r="U110" s="5"/>
      <c r="V110" s="5"/>
      <c r="W110" s="5"/>
      <c r="X110" s="5"/>
      <c r="Y110" s="5"/>
      <c r="Z110" s="5"/>
      <c r="AA110" s="5"/>
      <c r="AB110" s="5"/>
      <c r="AC110" s="5"/>
      <c r="AD110" s="5"/>
      <c r="AE110" s="5"/>
    </row>
    <row r="111" spans="1:31" ht="15.75" customHeight="1">
      <c r="A111" s="45" t="str">
        <f>A83</f>
        <v>Arquitecto de Base de Datos</v>
      </c>
      <c r="B111" s="46">
        <f>(SUM($B83:$N83)+$B97)*Q$18</f>
        <v>3766.1804123711336</v>
      </c>
      <c r="C111" s="46">
        <f>(SUM($B83:$N83)+$B97)*R$18</f>
        <v>4035.1932989690722</v>
      </c>
      <c r="D111" s="46">
        <f t="shared" ref="D111:N111" si="82">(SUM($B83:$N83)+$B97)*S$18</f>
        <v>4035.1932989690722</v>
      </c>
      <c r="E111" s="46">
        <f t="shared" si="82"/>
        <v>4035.1932989690722</v>
      </c>
      <c r="F111" s="46">
        <f t="shared" si="82"/>
        <v>4035.1932989690722</v>
      </c>
      <c r="G111" s="46">
        <f t="shared" si="82"/>
        <v>4035.1932989690722</v>
      </c>
      <c r="H111" s="46">
        <f t="shared" si="82"/>
        <v>4035.1932989690722</v>
      </c>
      <c r="I111" s="46">
        <f t="shared" si="82"/>
        <v>4035.1932989690722</v>
      </c>
      <c r="J111" s="46">
        <f t="shared" si="82"/>
        <v>4035.1932989690722</v>
      </c>
      <c r="K111" s="46">
        <f t="shared" si="82"/>
        <v>4035.1932989690722</v>
      </c>
      <c r="L111" s="46">
        <f t="shared" si="82"/>
        <v>4035.1932989690722</v>
      </c>
      <c r="M111" s="46">
        <f t="shared" si="82"/>
        <v>4035.1932989690722</v>
      </c>
      <c r="N111" s="46">
        <f t="shared" si="82"/>
        <v>4035.1932989690722</v>
      </c>
      <c r="O111" s="5"/>
      <c r="P111" s="5"/>
      <c r="Q111" s="5"/>
      <c r="R111" s="5"/>
      <c r="S111" s="5"/>
      <c r="T111" s="5"/>
      <c r="U111" s="5"/>
      <c r="V111" s="5"/>
      <c r="W111" s="5"/>
      <c r="X111" s="5"/>
      <c r="Y111" s="5"/>
      <c r="Z111" s="5"/>
      <c r="AA111" s="5"/>
      <c r="AB111" s="5"/>
      <c r="AC111" s="5"/>
      <c r="AD111" s="5"/>
      <c r="AE111" s="5"/>
    </row>
    <row r="112" spans="1:31" ht="15.75" customHeight="1">
      <c r="A112" s="45" t="str">
        <f>A84</f>
        <v>Desarrollador Backend</v>
      </c>
      <c r="B112" s="46">
        <f>(SUM($B84:$N84)+$B98)*Q$18</f>
        <v>3944.3492768268943</v>
      </c>
      <c r="C112" s="46">
        <f>(SUM($B84:$N84)+$B98)*R$18</f>
        <v>4226.0885108859593</v>
      </c>
      <c r="D112" s="46">
        <f t="shared" ref="D112:N112" si="83">(SUM($B84:$N84)+$B98)*S$18</f>
        <v>4226.0885108859593</v>
      </c>
      <c r="E112" s="46">
        <f t="shared" si="83"/>
        <v>4226.0885108859593</v>
      </c>
      <c r="F112" s="46">
        <f t="shared" si="83"/>
        <v>4226.0885108859593</v>
      </c>
      <c r="G112" s="46">
        <f t="shared" si="83"/>
        <v>4226.0885108859593</v>
      </c>
      <c r="H112" s="46">
        <f t="shared" si="83"/>
        <v>4226.0885108859593</v>
      </c>
      <c r="I112" s="46">
        <f t="shared" si="83"/>
        <v>4226.0885108859593</v>
      </c>
      <c r="J112" s="46">
        <f t="shared" si="83"/>
        <v>4226.0885108859593</v>
      </c>
      <c r="K112" s="46">
        <f t="shared" si="83"/>
        <v>4226.0885108859593</v>
      </c>
      <c r="L112" s="46">
        <f t="shared" si="83"/>
        <v>4226.0885108859593</v>
      </c>
      <c r="M112" s="46">
        <f t="shared" si="83"/>
        <v>4226.0885108859593</v>
      </c>
      <c r="N112" s="46">
        <f t="shared" si="83"/>
        <v>4226.0885108859593</v>
      </c>
      <c r="O112" s="5"/>
      <c r="P112" s="5"/>
      <c r="Q112" s="5"/>
      <c r="R112" s="5"/>
      <c r="S112" s="5"/>
      <c r="T112" s="5"/>
      <c r="U112" s="5"/>
      <c r="V112" s="5"/>
      <c r="W112" s="5"/>
      <c r="X112" s="5"/>
      <c r="Y112" s="5"/>
      <c r="Z112" s="5"/>
      <c r="AA112" s="5"/>
      <c r="AB112" s="5"/>
      <c r="AC112" s="5"/>
      <c r="AD112" s="5"/>
      <c r="AE112" s="5"/>
    </row>
    <row r="113" spans="1:31" ht="15.75" customHeight="1">
      <c r="A113" s="45" t="str">
        <f>A85</f>
        <v>Desarrollador Frontend</v>
      </c>
      <c r="B113" s="46">
        <f>(SUM($B85:$N85)+$B99)*Q$18</f>
        <v>3926.9214417753483</v>
      </c>
      <c r="C113" s="46">
        <f>(SUM($B85:$N85)+$B99)*R$18</f>
        <v>4207.4158304735874</v>
      </c>
      <c r="D113" s="46">
        <f t="shared" ref="D113:N113" si="84">(SUM($B85:$N85)+$B99)*S$18</f>
        <v>4207.4158304735874</v>
      </c>
      <c r="E113" s="46">
        <f t="shared" si="84"/>
        <v>4207.4158304735874</v>
      </c>
      <c r="F113" s="46">
        <f t="shared" si="84"/>
        <v>4207.4158304735874</v>
      </c>
      <c r="G113" s="46">
        <f t="shared" si="84"/>
        <v>4207.4158304735874</v>
      </c>
      <c r="H113" s="46">
        <f t="shared" si="84"/>
        <v>4207.4158304735874</v>
      </c>
      <c r="I113" s="46">
        <f t="shared" si="84"/>
        <v>4207.4158304735874</v>
      </c>
      <c r="J113" s="46">
        <f t="shared" si="84"/>
        <v>4207.4158304735874</v>
      </c>
      <c r="K113" s="46">
        <f t="shared" si="84"/>
        <v>4207.4158304735874</v>
      </c>
      <c r="L113" s="46">
        <f t="shared" si="84"/>
        <v>4207.4158304735874</v>
      </c>
      <c r="M113" s="46">
        <f t="shared" si="84"/>
        <v>4207.4158304735874</v>
      </c>
      <c r="N113" s="46">
        <f t="shared" si="84"/>
        <v>4207.4158304735874</v>
      </c>
      <c r="O113" s="5"/>
      <c r="P113" s="5"/>
      <c r="Q113" s="5"/>
      <c r="R113" s="5"/>
      <c r="S113" s="5"/>
      <c r="T113" s="5"/>
      <c r="U113" s="5"/>
      <c r="V113" s="5"/>
      <c r="W113" s="5"/>
      <c r="X113" s="5"/>
      <c r="Y113" s="5"/>
      <c r="Z113" s="5"/>
      <c r="AA113" s="5"/>
      <c r="AB113" s="5"/>
      <c r="AC113" s="5"/>
      <c r="AD113" s="5"/>
      <c r="AE113" s="5"/>
    </row>
    <row r="114" spans="1:31" ht="15.75" customHeight="1">
      <c r="A114" s="45" t="str">
        <f>A86</f>
        <v>QA Consultant</v>
      </c>
      <c r="B114" s="46">
        <f>(SUM($B86:$N86)+$B100)*Q$18</f>
        <v>3926.9936067238018</v>
      </c>
      <c r="C114" s="46">
        <f>(SUM($B86:$N86)+$B100)*R$18</f>
        <v>4207.4931500612165</v>
      </c>
      <c r="D114" s="46">
        <f t="shared" ref="D114:N114" si="85">(SUM($B86:$N86)+$B100)*S$18</f>
        <v>4207.4931500612165</v>
      </c>
      <c r="E114" s="46">
        <f t="shared" si="85"/>
        <v>4207.4931500612165</v>
      </c>
      <c r="F114" s="46">
        <f t="shared" si="85"/>
        <v>4207.4931500612165</v>
      </c>
      <c r="G114" s="46">
        <f t="shared" si="85"/>
        <v>4207.4931500612165</v>
      </c>
      <c r="H114" s="46">
        <f t="shared" si="85"/>
        <v>4207.4931500612165</v>
      </c>
      <c r="I114" s="46">
        <f t="shared" si="85"/>
        <v>4207.4931500612165</v>
      </c>
      <c r="J114" s="46">
        <f t="shared" si="85"/>
        <v>4207.4931500612165</v>
      </c>
      <c r="K114" s="46">
        <f t="shared" si="85"/>
        <v>4207.4931500612165</v>
      </c>
      <c r="L114" s="46">
        <f t="shared" si="85"/>
        <v>4207.4931500612165</v>
      </c>
      <c r="M114" s="46">
        <f t="shared" si="85"/>
        <v>4207.4931500612165</v>
      </c>
      <c r="N114" s="46">
        <f t="shared" si="85"/>
        <v>4207.4931500612165</v>
      </c>
      <c r="O114" s="5"/>
      <c r="P114" s="5"/>
      <c r="Q114" s="5"/>
      <c r="R114" s="5"/>
      <c r="S114" s="5"/>
      <c r="T114" s="5"/>
      <c r="U114" s="5"/>
      <c r="V114" s="5"/>
      <c r="W114" s="5"/>
      <c r="X114" s="5"/>
      <c r="Y114" s="5"/>
      <c r="Z114" s="5"/>
      <c r="AA114" s="5"/>
      <c r="AB114" s="5"/>
      <c r="AC114" s="5"/>
      <c r="AD114" s="5"/>
      <c r="AE114" s="5"/>
    </row>
    <row r="115" spans="1:31" ht="15.75" customHeight="1">
      <c r="A115" s="45" t="str">
        <f>A87</f>
        <v>Soporte</v>
      </c>
      <c r="B115" s="46">
        <f>(SUM($B87:$N87)+$B101)*Q$18</f>
        <v>3927.0657716722553</v>
      </c>
      <c r="C115" s="46">
        <f>(SUM($B87:$N87)+$B101)*R$18</f>
        <v>4207.5704696488456</v>
      </c>
      <c r="D115" s="46">
        <f t="shared" ref="D115:N115" si="86">(SUM($B87:$N87)+$B101)*S$18</f>
        <v>4207.5704696488456</v>
      </c>
      <c r="E115" s="46">
        <f t="shared" si="86"/>
        <v>4207.5704696488456</v>
      </c>
      <c r="F115" s="46">
        <f t="shared" si="86"/>
        <v>4207.5704696488456</v>
      </c>
      <c r="G115" s="46">
        <f t="shared" si="86"/>
        <v>4207.5704696488456</v>
      </c>
      <c r="H115" s="46">
        <f t="shared" si="86"/>
        <v>4207.5704696488456</v>
      </c>
      <c r="I115" s="46">
        <f t="shared" si="86"/>
        <v>4207.5704696488456</v>
      </c>
      <c r="J115" s="46">
        <f t="shared" si="86"/>
        <v>4207.5704696488456</v>
      </c>
      <c r="K115" s="46">
        <f t="shared" si="86"/>
        <v>4207.5704696488456</v>
      </c>
      <c r="L115" s="46">
        <f t="shared" si="86"/>
        <v>4207.5704696488456</v>
      </c>
      <c r="M115" s="46">
        <f t="shared" si="86"/>
        <v>4207.5704696488456</v>
      </c>
      <c r="N115" s="46">
        <f t="shared" si="86"/>
        <v>4207.5704696488456</v>
      </c>
      <c r="O115" s="5"/>
      <c r="P115" s="5"/>
      <c r="Q115" s="5"/>
      <c r="R115" s="5"/>
      <c r="S115" s="5"/>
      <c r="T115" s="5"/>
      <c r="U115" s="5"/>
      <c r="V115" s="5"/>
      <c r="W115" s="5"/>
      <c r="X115" s="5"/>
      <c r="Y115" s="5"/>
      <c r="Z115" s="5"/>
      <c r="AA115" s="5"/>
      <c r="AB115" s="5"/>
      <c r="AC115" s="5"/>
      <c r="AD115" s="5"/>
      <c r="AE115" s="5"/>
    </row>
    <row r="116" spans="1:31" ht="15.75" customHeight="1">
      <c r="A116" s="45" t="str">
        <f>A88</f>
        <v>Total</v>
      </c>
      <c r="B116" s="46">
        <f>(SUM($B88:$N88)+$B102)*Q$18</f>
        <v>8059.7531148771095</v>
      </c>
      <c r="C116" s="46">
        <f>(SUM($B88:$N88)+$B102)*R$18</f>
        <v>8635.4497659397621</v>
      </c>
      <c r="D116" s="46">
        <f t="shared" ref="D116:N116" si="87">(SUM($B88:$N88)+$B102)*S$18</f>
        <v>8635.4497659397621</v>
      </c>
      <c r="E116" s="46">
        <f t="shared" si="87"/>
        <v>8635.4497659397621</v>
      </c>
      <c r="F116" s="46">
        <f t="shared" si="87"/>
        <v>8635.4497659397621</v>
      </c>
      <c r="G116" s="46">
        <f t="shared" si="87"/>
        <v>8635.4497659397621</v>
      </c>
      <c r="H116" s="46">
        <f t="shared" si="87"/>
        <v>8635.4497659397621</v>
      </c>
      <c r="I116" s="46">
        <f t="shared" si="87"/>
        <v>8635.4497659397621</v>
      </c>
      <c r="J116" s="46">
        <f t="shared" si="87"/>
        <v>8635.4497659397621</v>
      </c>
      <c r="K116" s="46">
        <f t="shared" si="87"/>
        <v>8635.4497659397621</v>
      </c>
      <c r="L116" s="46">
        <f t="shared" si="87"/>
        <v>8635.4497659397621</v>
      </c>
      <c r="M116" s="46">
        <f t="shared" si="87"/>
        <v>8635.4497659397621</v>
      </c>
      <c r="N116" s="46">
        <f t="shared" si="87"/>
        <v>8635.4497659397621</v>
      </c>
      <c r="O116" s="5"/>
      <c r="P116" s="5"/>
      <c r="Q116" s="5"/>
      <c r="R116" s="5"/>
      <c r="S116" s="5"/>
      <c r="T116" s="5"/>
      <c r="U116" s="5"/>
      <c r="V116" s="5"/>
      <c r="W116" s="5"/>
      <c r="X116" s="5"/>
      <c r="Y116" s="5"/>
      <c r="Z116" s="5"/>
      <c r="AA116" s="5"/>
      <c r="AB116" s="5"/>
      <c r="AC116" s="5"/>
      <c r="AD116" s="5"/>
      <c r="AE116" s="5"/>
    </row>
    <row r="117" spans="1:31" ht="15.75" customHeight="1">
      <c r="A117" s="45">
        <f>A89</f>
        <v>0</v>
      </c>
      <c r="B117" s="46">
        <f>(SUM($B89:$G89)+$B103)*Q$18</f>
        <v>3609.1134020618551</v>
      </c>
      <c r="C117" s="46">
        <f>(SUM($B89:$G89)+$B103)*R$18</f>
        <v>3866.9072164948457</v>
      </c>
      <c r="D117" s="46">
        <f t="shared" ref="D117:N117" si="88">(SUM($B89:$G89)+$B103)*S$18</f>
        <v>3866.9072164948457</v>
      </c>
      <c r="E117" s="46">
        <f t="shared" si="88"/>
        <v>3866.9072164948457</v>
      </c>
      <c r="F117" s="46">
        <f t="shared" si="88"/>
        <v>3866.9072164948457</v>
      </c>
      <c r="G117" s="46">
        <f t="shared" si="88"/>
        <v>3866.9072164948457</v>
      </c>
      <c r="H117" s="46">
        <f t="shared" si="88"/>
        <v>3866.9072164948457</v>
      </c>
      <c r="I117" s="46">
        <f t="shared" si="88"/>
        <v>3866.9072164948457</v>
      </c>
      <c r="J117" s="46">
        <f t="shared" si="88"/>
        <v>3866.9072164948457</v>
      </c>
      <c r="K117" s="46">
        <f t="shared" si="88"/>
        <v>3866.9072164948457</v>
      </c>
      <c r="L117" s="46">
        <f t="shared" si="88"/>
        <v>3866.9072164948457</v>
      </c>
      <c r="M117" s="46">
        <f t="shared" si="88"/>
        <v>3866.9072164948457</v>
      </c>
      <c r="N117" s="46">
        <f t="shared" si="88"/>
        <v>3866.9072164948457</v>
      </c>
      <c r="O117" s="5"/>
      <c r="P117" s="5"/>
      <c r="Q117" s="5"/>
      <c r="R117" s="5"/>
      <c r="S117" s="5"/>
      <c r="T117" s="5"/>
      <c r="U117" s="5"/>
      <c r="V117" s="5"/>
      <c r="W117" s="5"/>
      <c r="X117" s="5"/>
      <c r="Y117" s="5"/>
      <c r="Z117" s="5"/>
      <c r="AA117" s="5"/>
      <c r="AB117" s="5"/>
      <c r="AC117" s="5"/>
      <c r="AD117" s="5"/>
      <c r="AE117" s="5"/>
    </row>
    <row r="118" spans="1:31" ht="15.75" customHeight="1" thickBot="1">
      <c r="A118" s="47" t="s">
        <v>33</v>
      </c>
      <c r="B118" s="48">
        <f>SUM(B109:B117)</f>
        <v>39121.66272925213</v>
      </c>
      <c r="C118" s="48">
        <f>SUM(C109:C117)</f>
        <v>41916.067209913002</v>
      </c>
      <c r="D118" s="48">
        <f t="shared" ref="D118:N118" si="89">SUM(D109:D117)</f>
        <v>41916.067209913002</v>
      </c>
      <c r="E118" s="48">
        <f t="shared" si="89"/>
        <v>41916.067209913002</v>
      </c>
      <c r="F118" s="48">
        <f t="shared" si="89"/>
        <v>41916.067209913002</v>
      </c>
      <c r="G118" s="48">
        <f t="shared" si="89"/>
        <v>41916.067209913002</v>
      </c>
      <c r="H118" s="48">
        <f t="shared" si="89"/>
        <v>41916.067209913002</v>
      </c>
      <c r="I118" s="48">
        <f t="shared" si="89"/>
        <v>41916.067209913002</v>
      </c>
      <c r="J118" s="48">
        <f t="shared" si="89"/>
        <v>41916.067209913002</v>
      </c>
      <c r="K118" s="48">
        <f t="shared" si="89"/>
        <v>41916.067209913002</v>
      </c>
      <c r="L118" s="48">
        <f t="shared" si="89"/>
        <v>41916.067209913002</v>
      </c>
      <c r="M118" s="48">
        <f t="shared" si="89"/>
        <v>41916.067209913002</v>
      </c>
      <c r="N118" s="48">
        <f t="shared" si="89"/>
        <v>41916.067209913002</v>
      </c>
      <c r="O118" s="5"/>
      <c r="P118" s="5"/>
      <c r="Q118" s="5"/>
      <c r="R118" s="5"/>
      <c r="S118" s="5"/>
      <c r="T118" s="5"/>
      <c r="U118" s="5"/>
      <c r="V118" s="5"/>
      <c r="W118" s="5"/>
      <c r="X118" s="5"/>
      <c r="Y118" s="5"/>
      <c r="Z118" s="5"/>
      <c r="AA118" s="5"/>
      <c r="AB118" s="5"/>
      <c r="AC118" s="5"/>
      <c r="AD118" s="5"/>
      <c r="AE118" s="5"/>
    </row>
    <row r="119" spans="1:31"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spans="1:31" ht="15.75" customHeight="1">
      <c r="A120" s="49" t="s">
        <v>36</v>
      </c>
      <c r="B120" s="50">
        <f>SUM(B110:N110)</f>
        <v>53487.761904761894</v>
      </c>
      <c r="C120" s="5"/>
      <c r="D120" s="5"/>
      <c r="E120" s="5"/>
      <c r="F120" s="5"/>
      <c r="G120" s="5"/>
      <c r="H120" s="5"/>
      <c r="I120" s="5"/>
      <c r="J120" s="5"/>
      <c r="K120" s="5"/>
      <c r="L120" s="5"/>
      <c r="M120" s="5"/>
      <c r="N120" s="5"/>
      <c r="O120" s="5"/>
      <c r="P120" s="5"/>
      <c r="Q120" s="5"/>
      <c r="R120" s="5"/>
      <c r="S120" s="5"/>
      <c r="T120" s="5"/>
      <c r="U120" s="5"/>
      <c r="V120" s="5"/>
      <c r="W120" s="5"/>
      <c r="X120" s="5"/>
    </row>
    <row r="121" spans="1:3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spans="1:31"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spans="1:31"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spans="1:31"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spans="1:31"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spans="1:31"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spans="1:31"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spans="1:31"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spans="1:24"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spans="1:24"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spans="1:24"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spans="1:24"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spans="1:24"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spans="1:2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spans="1:24"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spans="1:24"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spans="1:24"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spans="1:24"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spans="1:24"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spans="1:24"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spans="1:24"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spans="1:24"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spans="1:24"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spans="1:2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spans="1:24"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spans="1:24"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spans="1:24"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spans="1:24"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spans="1:24"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spans="1:24"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spans="1:24"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spans="1:24"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spans="1:24"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spans="1:2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spans="1:24"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spans="1:24"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spans="1:24"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spans="1:24"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spans="1:24"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spans="1:24"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spans="1:24"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spans="1:24"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spans="1:24"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spans="1:2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spans="1:24"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spans="1:24"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spans="1:24"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spans="1:24"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spans="1:24"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spans="1:24"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spans="1:24"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spans="1:24"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spans="1:24"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spans="1:2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spans="1:24"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spans="1:24"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spans="1:24"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spans="1:24"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spans="1:24"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spans="1:24"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spans="1:24"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spans="1:24"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spans="1:24"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spans="1:2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spans="1:24"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spans="1:24"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spans="1:24"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spans="1:24"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spans="1:24"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spans="1:24"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spans="1:24"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spans="1:24"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spans="1:24"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spans="1:2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spans="1:24"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spans="1:24"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spans="1:24"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spans="1:24"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spans="1:24"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spans="1:24"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spans="1:24"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spans="1:24"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spans="1:24"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spans="1:2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spans="1:24"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spans="1:24"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spans="1:24"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spans="1:24"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spans="1:24"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spans="1:24"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spans="1:24"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spans="1:24"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spans="1:24"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spans="1:2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spans="1:24"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spans="1:24"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spans="1:24"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spans="1:24"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spans="1:24"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spans="1:24"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spans="1:24"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spans="1:24"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spans="1:24"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spans="1: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spans="1:24"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spans="1:24"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spans="1:24"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spans="1:24"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spans="1:24"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spans="1:24"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spans="1:24"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spans="1:24"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spans="1:24"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spans="1:2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spans="1:24"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spans="1:24"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spans="1:24"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spans="1:24"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spans="1:24"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spans="1:24"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spans="1:24"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spans="1:24"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spans="1:24"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spans="1:2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spans="1:24"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spans="1:24"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spans="1:24"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spans="1:24"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spans="1:24"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spans="1:24"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spans="1:24"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spans="1:24"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spans="1:24"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spans="1:2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spans="1:24"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spans="1:24"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spans="1:24"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spans="1:24"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spans="1:24"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spans="1:24"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spans="1:24"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spans="1:24"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spans="1:24"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spans="1:2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spans="1:24"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spans="1:24"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spans="1:24"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spans="1:24"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spans="1:24"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spans="1:24"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spans="1:24"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spans="1:24"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spans="1:24"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spans="1:2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spans="1:24"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spans="1:24"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spans="1:24"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spans="1:24"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spans="1:24"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spans="1:24"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spans="1:24"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spans="1:24"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spans="1:24"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spans="1:2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spans="1:24"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spans="1:24"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spans="1:24"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spans="1:24"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row>
    <row r="289" spans="1:24"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row>
    <row r="290" spans="1:24"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row>
    <row r="291" spans="1:24"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row>
    <row r="292" spans="1:24"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row>
    <row r="293" spans="1:24"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row>
    <row r="294" spans="1:2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row>
    <row r="295" spans="1:24"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row>
    <row r="296" spans="1:24"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row>
    <row r="297" spans="1:24"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row>
    <row r="298" spans="1:24"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row>
    <row r="299" spans="1:24"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row>
    <row r="300" spans="1:24"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row>
    <row r="301" spans="1:24"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row>
    <row r="302" spans="1:24"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row>
    <row r="303" spans="1:24"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row>
    <row r="304" spans="1:2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row>
    <row r="305" spans="1:24"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row>
    <row r="306" spans="1:24"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row>
    <row r="307" spans="1:24"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row>
    <row r="308" spans="1:24"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row>
    <row r="309" spans="1:24"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row>
    <row r="310" spans="1:24"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row>
    <row r="311" spans="1:24"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row>
    <row r="312" spans="1:24"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row>
    <row r="313" spans="1:24"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row>
    <row r="314" spans="1:2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row>
    <row r="315" spans="1:24"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row>
    <row r="316" spans="1:24"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row>
    <row r="317" spans="1:24"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row>
    <row r="318" spans="1:24"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row>
    <row r="319" spans="1:24"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row>
    <row r="320" spans="1:24"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row>
    <row r="321" spans="1:24"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row>
    <row r="322" spans="1:24"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row>
    <row r="323" spans="1:24"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row>
    <row r="324" spans="1: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row>
    <row r="325" spans="1:24"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row>
    <row r="326" spans="1:24"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row>
    <row r="327" spans="1:24"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row>
    <row r="328" spans="1:24"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row>
    <row r="329" spans="1:24"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row>
    <row r="330" spans="1:24"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row>
    <row r="331" spans="1:24"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row>
    <row r="332" spans="1:24"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row>
    <row r="333" spans="1:24"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row>
    <row r="334" spans="1:2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row>
    <row r="335" spans="1:24"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row>
    <row r="336" spans="1:24"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row>
    <row r="337" spans="1:24"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row>
    <row r="338" spans="1:24"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row>
    <row r="339" spans="1:24"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row>
    <row r="340" spans="1:24"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row>
    <row r="341" spans="1:24"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row>
    <row r="342" spans="1:24"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row>
    <row r="343" spans="1:24"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row>
    <row r="344" spans="1:2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row>
    <row r="345" spans="1:24"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row>
    <row r="346" spans="1:24"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row>
    <row r="347" spans="1:24"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row>
    <row r="348" spans="1:24"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row>
    <row r="349" spans="1:24"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row>
    <row r="350" spans="1:24"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row>
    <row r="351" spans="1:24"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row>
    <row r="352" spans="1:24"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row>
    <row r="353" spans="1:24"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row>
    <row r="354" spans="1:2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row>
    <row r="355" spans="1:24"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row>
    <row r="356" spans="1:24"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row>
    <row r="357" spans="1:24"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row>
    <row r="358" spans="1:24"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row>
    <row r="359" spans="1:24"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row>
    <row r="360" spans="1:24"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row>
    <row r="361" spans="1:24"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row>
    <row r="362" spans="1:24"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row>
    <row r="363" spans="1:24"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row>
    <row r="364" spans="1:2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row>
    <row r="365" spans="1:24"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row>
    <row r="366" spans="1:24"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row>
    <row r="367" spans="1:24"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row>
    <row r="368" spans="1:24"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row>
    <row r="369" spans="1:24"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row>
    <row r="370" spans="1:24"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row>
    <row r="371" spans="1:24"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row>
    <row r="372" spans="1:24"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row>
    <row r="373" spans="1:24"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row>
    <row r="374" spans="1:2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row>
    <row r="375" spans="1:24"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row>
    <row r="376" spans="1:24"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row>
    <row r="377" spans="1:24"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row>
    <row r="378" spans="1:24"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row>
    <row r="379" spans="1:24"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row>
    <row r="380" spans="1:24"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row>
    <row r="381" spans="1:24"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row>
    <row r="382" spans="1:24"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row>
    <row r="383" spans="1:24"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row>
    <row r="384" spans="1:2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row>
    <row r="385" spans="1:24"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row>
    <row r="386" spans="1:24"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row>
    <row r="387" spans="1:24"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row>
    <row r="388" spans="1:24"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row>
    <row r="389" spans="1:24"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row>
    <row r="390" spans="1:24"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row>
    <row r="391" spans="1:24"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row>
    <row r="392" spans="1:24"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row>
    <row r="393" spans="1:24"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row>
    <row r="394" spans="1:2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row>
    <row r="395" spans="1:24"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row>
    <row r="396" spans="1:24"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row>
    <row r="397" spans="1:24"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row>
    <row r="398" spans="1:24"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row>
    <row r="399" spans="1:24"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row>
    <row r="400" spans="1:24"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row>
    <row r="401" spans="1:24"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row>
    <row r="402" spans="1:24"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row>
    <row r="403" spans="1:24"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row>
    <row r="404" spans="1:2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row>
    <row r="405" spans="1:24"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row>
    <row r="406" spans="1:24"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row>
    <row r="407" spans="1:24"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row>
    <row r="408" spans="1:24"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row>
    <row r="409" spans="1:24"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row>
    <row r="410" spans="1:24"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row>
    <row r="411" spans="1:24"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row>
    <row r="412" spans="1:24"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row>
    <row r="413" spans="1:24"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row>
    <row r="414" spans="1:2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row>
    <row r="415" spans="1:24"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row>
    <row r="416" spans="1:24"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row>
    <row r="417" spans="1:24"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row>
    <row r="418" spans="1:24"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row>
    <row r="419" spans="1:24"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row>
    <row r="420" spans="1:24"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row>
    <row r="421" spans="1:24"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row>
    <row r="422" spans="1:24"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row>
    <row r="423" spans="1:24"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row>
    <row r="424" spans="1: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row>
    <row r="425" spans="1:24"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row>
    <row r="426" spans="1:24"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row>
    <row r="427" spans="1:24"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row>
    <row r="428" spans="1:24"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row>
    <row r="429" spans="1:24"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row>
    <row r="430" spans="1:24"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row>
    <row r="431" spans="1:24"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row>
    <row r="432" spans="1:24"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row>
    <row r="433" spans="1:24"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row>
    <row r="434" spans="1:2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row>
    <row r="435" spans="1:24"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row>
    <row r="436" spans="1:24"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row>
    <row r="437" spans="1:24"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row>
    <row r="438" spans="1:24"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row>
    <row r="439" spans="1:24"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row>
    <row r="440" spans="1:24"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row>
    <row r="441" spans="1:24"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row>
    <row r="442" spans="1:24"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row>
    <row r="443" spans="1:24"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row>
    <row r="444" spans="1:2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row>
    <row r="445" spans="1:24"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row>
    <row r="446" spans="1:24"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row>
    <row r="447" spans="1:24"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row>
    <row r="448" spans="1:24"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row>
    <row r="449" spans="1:24"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row>
    <row r="450" spans="1:24"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row>
    <row r="451" spans="1:24"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row>
    <row r="452" spans="1:24"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row>
    <row r="453" spans="1:24"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row>
    <row r="454" spans="1:2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row>
    <row r="455" spans="1:24"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row>
    <row r="456" spans="1:24"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row>
    <row r="457" spans="1:24"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row>
    <row r="458" spans="1:24"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row>
    <row r="459" spans="1:24"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row>
    <row r="460" spans="1:24"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row>
    <row r="461" spans="1:24"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row>
    <row r="462" spans="1:24"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row>
    <row r="463" spans="1:24"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row>
    <row r="464" spans="1:2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row>
    <row r="465" spans="1:24"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row>
    <row r="466" spans="1:24"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row>
    <row r="467" spans="1:24"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row>
    <row r="468" spans="1:24"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row>
    <row r="469" spans="1:24"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row>
    <row r="470" spans="1:24"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row>
    <row r="471" spans="1:24"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row>
    <row r="472" spans="1:24"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row>
    <row r="473" spans="1:24"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row>
    <row r="474" spans="1:2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row>
    <row r="475" spans="1:24"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row>
    <row r="476" spans="1:24"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row>
    <row r="477" spans="1:24"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row>
    <row r="478" spans="1:24"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row>
    <row r="479" spans="1:24"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row>
    <row r="480" spans="1:24"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row>
    <row r="481" spans="1:24"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row>
    <row r="482" spans="1:24"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row>
    <row r="483" spans="1:24"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row>
    <row r="484" spans="1:2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row>
    <row r="485" spans="1:24"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row>
    <row r="486" spans="1:24"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row>
    <row r="487" spans="1:24"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row>
    <row r="488" spans="1:24"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row>
    <row r="489" spans="1:24"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row>
    <row r="490" spans="1:24"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row>
    <row r="491" spans="1:24"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row>
    <row r="492" spans="1:24"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row>
    <row r="493" spans="1:24"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row>
    <row r="494" spans="1:2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row>
    <row r="495" spans="1:24"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row>
    <row r="496" spans="1:24"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row>
    <row r="497" spans="1:24"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row>
    <row r="498" spans="1:24"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row>
    <row r="499" spans="1:24"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row>
    <row r="500" spans="1:24"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row>
    <row r="501" spans="1:24"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row>
    <row r="502" spans="1:24"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row>
    <row r="503" spans="1:24"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row>
    <row r="504" spans="1:2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row>
    <row r="505" spans="1:24"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row>
    <row r="506" spans="1:24"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row>
    <row r="507" spans="1:24"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row>
    <row r="508" spans="1:24"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row>
    <row r="509" spans="1:24"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row>
    <row r="510" spans="1:24"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row>
    <row r="511" spans="1:24"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row>
    <row r="512" spans="1:24"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row>
    <row r="513" spans="1:24"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row>
    <row r="514" spans="1:2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row>
    <row r="515" spans="1:24"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row>
    <row r="516" spans="1:24"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row>
    <row r="517" spans="1:24"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row>
    <row r="518" spans="1:24"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row>
    <row r="519" spans="1:24"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row>
    <row r="520" spans="1:24"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row>
    <row r="521" spans="1:24"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row>
    <row r="522" spans="1:24"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row>
    <row r="523" spans="1:24"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row>
    <row r="524" spans="1: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row>
    <row r="525" spans="1:24"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row>
    <row r="526" spans="1:24"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row>
    <row r="527" spans="1:24"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row>
    <row r="528" spans="1:24"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row>
    <row r="529" spans="1:24"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row>
    <row r="530" spans="1:24"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row>
    <row r="531" spans="1:24"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row>
    <row r="532" spans="1:24"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row>
    <row r="533" spans="1:24"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row>
    <row r="534" spans="1:2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row>
    <row r="535" spans="1:24"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row>
    <row r="536" spans="1:24"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row>
    <row r="537" spans="1:24"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row>
    <row r="538" spans="1:24"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row>
    <row r="539" spans="1:24"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row>
    <row r="540" spans="1:24"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row>
    <row r="541" spans="1:24"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row>
    <row r="542" spans="1:24"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row>
    <row r="543" spans="1:24"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row>
    <row r="544" spans="1:2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row>
    <row r="545" spans="1:24"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row>
    <row r="546" spans="1:24"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row>
    <row r="547" spans="1:24"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row>
    <row r="548" spans="1:24"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row>
    <row r="549" spans="1:24"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row>
    <row r="550" spans="1:24"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row>
    <row r="551" spans="1:24"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row>
    <row r="552" spans="1:24"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row>
    <row r="553" spans="1:24"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row>
    <row r="554" spans="1:2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row>
    <row r="555" spans="1:24"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row>
    <row r="556" spans="1:24"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row>
    <row r="557" spans="1:24"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row>
    <row r="558" spans="1:24"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row>
    <row r="559" spans="1:24"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row>
    <row r="560" spans="1:24"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row>
    <row r="561" spans="1:24"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row>
    <row r="562" spans="1:24"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row>
    <row r="563" spans="1:24"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row>
    <row r="564" spans="1:2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row>
    <row r="565" spans="1:24"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row>
    <row r="566" spans="1:24"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row>
    <row r="567" spans="1:24"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row>
    <row r="568" spans="1:24"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row>
    <row r="569" spans="1:24"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row>
    <row r="570" spans="1:24"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row>
    <row r="571" spans="1:24"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row>
    <row r="572" spans="1:24"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row>
    <row r="573" spans="1:24"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row>
    <row r="574" spans="1:2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row>
    <row r="575" spans="1:24"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row>
    <row r="576" spans="1:24"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row>
    <row r="577" spans="1:24"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row>
    <row r="578" spans="1:24"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row>
    <row r="579" spans="1:24"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row>
    <row r="580" spans="1:24"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row>
    <row r="581" spans="1:24"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row>
    <row r="582" spans="1:24"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row>
    <row r="583" spans="1:24"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row>
    <row r="584" spans="1:2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row>
    <row r="585" spans="1:24"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row>
    <row r="586" spans="1:24"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row>
    <row r="587" spans="1:24"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row>
    <row r="588" spans="1:24"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row>
    <row r="589" spans="1:24"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row>
    <row r="590" spans="1:24"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row>
    <row r="591" spans="1:24"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row>
    <row r="592" spans="1:24"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row>
    <row r="593" spans="1:24"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row>
    <row r="594" spans="1:2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row>
    <row r="595" spans="1:24"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row>
    <row r="596" spans="1:24"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row>
    <row r="597" spans="1:24"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row>
    <row r="598" spans="1:24"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row>
    <row r="599" spans="1:24"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row>
    <row r="600" spans="1:24"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row>
    <row r="601" spans="1:24"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row>
    <row r="602" spans="1:24"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row>
    <row r="603" spans="1:24"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row>
    <row r="604" spans="1:2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row>
    <row r="605" spans="1:24"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row>
    <row r="606" spans="1:24"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row>
    <row r="607" spans="1:24"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row>
    <row r="608" spans="1:24"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row>
    <row r="609" spans="1:24"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row>
    <row r="610" spans="1:24"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row>
    <row r="611" spans="1:24"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row>
    <row r="612" spans="1:24"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row>
    <row r="613" spans="1:24"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row>
    <row r="614" spans="1:2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row>
    <row r="615" spans="1:24"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row>
    <row r="616" spans="1:24"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row>
    <row r="617" spans="1:24"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row>
    <row r="618" spans="1:24"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row>
    <row r="619" spans="1:24"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row>
    <row r="620" spans="1:24"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row>
    <row r="621" spans="1:24"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row>
    <row r="622" spans="1:24"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row>
    <row r="623" spans="1:24"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row>
    <row r="624" spans="1: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row>
    <row r="625" spans="1:24"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row>
    <row r="626" spans="1:24"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row>
    <row r="627" spans="1:24"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row>
    <row r="628" spans="1:24"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row>
    <row r="629" spans="1:24"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row>
    <row r="630" spans="1:24"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row>
    <row r="631" spans="1:24"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row>
    <row r="632" spans="1:24"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row>
    <row r="633" spans="1:24"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row>
    <row r="634" spans="1:2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row>
    <row r="635" spans="1:24"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row>
    <row r="636" spans="1:24"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row>
    <row r="637" spans="1:24"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row>
    <row r="638" spans="1:24"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row>
    <row r="639" spans="1:24"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row>
    <row r="640" spans="1:24"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row>
    <row r="641" spans="1:24"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row>
    <row r="642" spans="1:24"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row>
    <row r="643" spans="1:24"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row>
    <row r="644" spans="1:2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row>
    <row r="645" spans="1:24"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row>
    <row r="646" spans="1:24"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row>
    <row r="647" spans="1:24"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row>
    <row r="648" spans="1:24"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row>
    <row r="649" spans="1:24"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row>
    <row r="650" spans="1:24"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row>
    <row r="651" spans="1:24"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row>
    <row r="652" spans="1:24"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row>
    <row r="653" spans="1:24"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row>
    <row r="654" spans="1:2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row>
    <row r="655" spans="1:24"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row>
    <row r="656" spans="1:24"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row>
    <row r="657" spans="1:24"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row>
    <row r="658" spans="1:24"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row>
    <row r="659" spans="1:24"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row>
    <row r="660" spans="1:24"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row>
    <row r="661" spans="1:24"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row>
    <row r="662" spans="1:24"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row>
    <row r="663" spans="1:24"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row>
    <row r="664" spans="1:2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row>
    <row r="665" spans="1:24"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row>
    <row r="666" spans="1:24"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row>
    <row r="667" spans="1:24"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row>
    <row r="668" spans="1:24"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row>
    <row r="669" spans="1:24"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row>
    <row r="670" spans="1:24"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row>
    <row r="671" spans="1:24"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row>
    <row r="672" spans="1:24"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row>
    <row r="673" spans="1:24"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row>
    <row r="674" spans="1:2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row>
    <row r="675" spans="1:24"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row>
    <row r="676" spans="1:24"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row>
    <row r="677" spans="1:24"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row>
    <row r="678" spans="1:24"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row>
    <row r="679" spans="1:24"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row>
    <row r="680" spans="1:24"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row>
    <row r="681" spans="1:24"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row>
    <row r="682" spans="1:24"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row>
    <row r="683" spans="1:24"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row>
    <row r="684" spans="1:2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row>
    <row r="685" spans="1:24"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row>
    <row r="686" spans="1:24"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row>
    <row r="687" spans="1:24"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row>
    <row r="688" spans="1:24"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row>
    <row r="689" spans="1:24"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row>
    <row r="690" spans="1:24"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row>
    <row r="691" spans="1:24"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row>
    <row r="692" spans="1:24"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row>
    <row r="693" spans="1:24"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row>
    <row r="694" spans="1:2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row>
    <row r="695" spans="1:24"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row>
    <row r="696" spans="1:24"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row>
    <row r="697" spans="1:24"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row>
    <row r="698" spans="1:24"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row>
    <row r="699" spans="1:24"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row>
    <row r="700" spans="1:24"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row>
    <row r="701" spans="1:24"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row>
    <row r="702" spans="1:24"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row>
    <row r="703" spans="1:24"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row>
    <row r="704" spans="1:2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row>
    <row r="705" spans="1:24"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row>
    <row r="706" spans="1:24"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row>
    <row r="707" spans="1:24"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row>
    <row r="708" spans="1:24"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row>
    <row r="709" spans="1:24"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row>
    <row r="710" spans="1:24"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row>
    <row r="711" spans="1:24"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row>
    <row r="712" spans="1:24"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row>
    <row r="713" spans="1:24"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row>
    <row r="714" spans="1:2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row>
    <row r="715" spans="1:24"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row>
    <row r="716" spans="1:24"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row>
    <row r="717" spans="1:24"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row>
    <row r="718" spans="1:24"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row>
    <row r="719" spans="1:24"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row>
    <row r="720" spans="1:24"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row>
    <row r="721" spans="1:24"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row>
    <row r="722" spans="1:24"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row>
    <row r="723" spans="1:24"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row>
    <row r="724" spans="1: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row>
    <row r="725" spans="1:24"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row>
    <row r="726" spans="1:24"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row>
    <row r="727" spans="1:24"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row>
    <row r="728" spans="1:24"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row>
    <row r="729" spans="1:24"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row>
    <row r="730" spans="1:24"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row>
    <row r="731" spans="1:24"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row>
    <row r="732" spans="1:24"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row>
    <row r="733" spans="1:24"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row>
    <row r="734" spans="1:2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row>
    <row r="735" spans="1:24"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row>
    <row r="736" spans="1:24"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row>
    <row r="737" spans="1:24"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row>
    <row r="738" spans="1:24"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row>
    <row r="739" spans="1:24"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row>
    <row r="740" spans="1:24"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row>
    <row r="741" spans="1:24"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row>
    <row r="742" spans="1:24"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row>
    <row r="743" spans="1:24"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row>
    <row r="744" spans="1:2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row>
    <row r="745" spans="1:24"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row>
    <row r="746" spans="1:24"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row>
    <row r="747" spans="1:24"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row>
    <row r="748" spans="1:24"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row>
    <row r="749" spans="1:24"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row>
    <row r="750" spans="1:24"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row>
    <row r="751" spans="1:24"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row>
    <row r="752" spans="1:24"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row>
    <row r="753" spans="1:24"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row>
    <row r="754" spans="1:2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row>
    <row r="755" spans="1:24"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row>
    <row r="756" spans="1:24"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row>
    <row r="757" spans="1:24"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row>
    <row r="758" spans="1:24"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row>
    <row r="759" spans="1:24"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row>
    <row r="760" spans="1:24"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row>
    <row r="761" spans="1:24"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row>
    <row r="762" spans="1:24"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row>
    <row r="763" spans="1:24"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row>
    <row r="764" spans="1:2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row>
    <row r="765" spans="1:24"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row>
    <row r="766" spans="1:24"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row>
    <row r="767" spans="1:24"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row>
    <row r="768" spans="1:24"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row>
    <row r="769" spans="1:24"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row>
    <row r="770" spans="1:24"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row>
    <row r="771" spans="1:24"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row>
    <row r="772" spans="1:24"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row>
    <row r="773" spans="1:24"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row>
    <row r="774" spans="1:2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row>
    <row r="775" spans="1:24"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row>
    <row r="776" spans="1:24"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row>
    <row r="777" spans="1:24"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row>
    <row r="778" spans="1:24"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row>
    <row r="779" spans="1:24"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row>
    <row r="780" spans="1:24"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row>
    <row r="781" spans="1:24"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row>
    <row r="782" spans="1:24"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row>
    <row r="783" spans="1:24"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row>
    <row r="784" spans="1:2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row>
    <row r="785" spans="1:24"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row>
    <row r="786" spans="1:24"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row>
    <row r="787" spans="1:24"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row>
    <row r="788" spans="1:24"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row>
    <row r="789" spans="1:24"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row>
    <row r="790" spans="1:24"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row>
    <row r="791" spans="1:24"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row>
    <row r="792" spans="1:24"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row>
    <row r="793" spans="1:24"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row>
    <row r="794" spans="1:2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row>
    <row r="795" spans="1:24"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row>
    <row r="796" spans="1:24"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row>
    <row r="797" spans="1:24"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row>
    <row r="798" spans="1:24"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row>
    <row r="799" spans="1:24"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row>
    <row r="800" spans="1:24"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row>
    <row r="801" spans="1:24"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row>
    <row r="802" spans="1:24"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row>
    <row r="803" spans="1:24"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row>
    <row r="804" spans="1:2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row>
    <row r="805" spans="1:24"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row>
    <row r="806" spans="1:24"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row>
    <row r="807" spans="1:24"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row>
    <row r="808" spans="1:24"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row>
    <row r="809" spans="1:24"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row>
    <row r="810" spans="1:24"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row>
    <row r="811" spans="1:24"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row>
    <row r="812" spans="1:24"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row>
    <row r="813" spans="1:24"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row>
    <row r="814" spans="1:2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row>
    <row r="815" spans="1:24"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row>
    <row r="816" spans="1:24"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row>
    <row r="817" spans="1:24"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row>
    <row r="818" spans="1:24"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row>
    <row r="819" spans="1:24"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row>
    <row r="820" spans="1:24"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row>
    <row r="821" spans="1:24"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row>
    <row r="822" spans="1:24"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row>
    <row r="823" spans="1:24"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row>
    <row r="824" spans="1: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row>
    <row r="825" spans="1:24"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row>
    <row r="826" spans="1:24"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row>
    <row r="827" spans="1:24"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row>
    <row r="828" spans="1:24"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row>
    <row r="829" spans="1:24"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row>
    <row r="830" spans="1:24"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row>
    <row r="831" spans="1:24"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row>
    <row r="832" spans="1:24"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row>
    <row r="833" spans="1:24"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row>
    <row r="834" spans="1:2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row>
    <row r="835" spans="1:24"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row>
    <row r="836" spans="1:24"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row>
    <row r="837" spans="1:24"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row>
    <row r="838" spans="1:24"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row>
    <row r="839" spans="1:24"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row>
    <row r="840" spans="1:24"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row>
    <row r="841" spans="1:24"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row>
    <row r="842" spans="1:24"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row>
    <row r="843" spans="1:24"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row>
    <row r="844" spans="1:2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row>
    <row r="845" spans="1:24"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row>
    <row r="846" spans="1:24"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row>
    <row r="847" spans="1:24"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row>
    <row r="848" spans="1:24"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row>
    <row r="849" spans="1:24"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row>
    <row r="850" spans="1:24"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row>
    <row r="851" spans="1:24"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row>
    <row r="852" spans="1:24"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row>
    <row r="853" spans="1:24"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row>
    <row r="854" spans="1:2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row>
    <row r="855" spans="1:24"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row>
    <row r="856" spans="1:24"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row>
    <row r="857" spans="1:24"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row>
    <row r="858" spans="1:24"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row>
    <row r="859" spans="1:24"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row>
    <row r="860" spans="1:24"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row>
    <row r="861" spans="1:24"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row>
    <row r="862" spans="1:24"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row>
    <row r="863" spans="1:24"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row>
    <row r="864" spans="1:2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row>
    <row r="865" spans="1:24"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row>
    <row r="866" spans="1:24"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row>
    <row r="867" spans="1:24"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row>
    <row r="868" spans="1:24"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row>
    <row r="869" spans="1:24"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row>
    <row r="870" spans="1:24"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row>
    <row r="871" spans="1:24"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row>
    <row r="872" spans="1:24"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row>
    <row r="873" spans="1:24"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row>
    <row r="874" spans="1:2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row>
    <row r="875" spans="1:24"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row>
    <row r="876" spans="1:24"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row>
    <row r="877" spans="1:24"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row>
    <row r="878" spans="1:24"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row>
    <row r="879" spans="1:24"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row>
    <row r="880" spans="1:24"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row>
    <row r="881" spans="1:24"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row>
    <row r="882" spans="1:24"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row>
    <row r="883" spans="1:24"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row>
    <row r="884" spans="1:2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row>
    <row r="885" spans="1:24"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row>
    <row r="886" spans="1:24"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row>
    <row r="887" spans="1:24"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row>
    <row r="888" spans="1:24"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row>
    <row r="889" spans="1:24"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row>
    <row r="890" spans="1:24"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row>
    <row r="891" spans="1:24"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row>
    <row r="892" spans="1:24"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row>
    <row r="893" spans="1:24"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row>
    <row r="894" spans="1:2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row>
    <row r="895" spans="1:24"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row>
    <row r="896" spans="1:24"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row>
    <row r="897" spans="1:24"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row>
    <row r="898" spans="1:24"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row>
    <row r="899" spans="1:24"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row>
    <row r="900" spans="1:24"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row>
    <row r="901" spans="1:24"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row>
    <row r="902" spans="1:24"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row>
    <row r="903" spans="1:24"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row>
    <row r="904" spans="1:2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row>
    <row r="905" spans="1:24"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row>
    <row r="906" spans="1:24"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row>
    <row r="907" spans="1:24"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row>
    <row r="908" spans="1:24"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row>
    <row r="909" spans="1:24"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row>
    <row r="910" spans="1:24"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row>
    <row r="911" spans="1:24"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row>
    <row r="912" spans="1:24"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row>
    <row r="913" spans="1:24"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row>
    <row r="914" spans="1:2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row>
    <row r="915" spans="1:24"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row>
    <row r="916" spans="1:24"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row>
    <row r="917" spans="1:24"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row>
    <row r="918" spans="1:24"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row>
    <row r="919" spans="1:24"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row>
    <row r="920" spans="1:24"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row>
    <row r="921" spans="1:24"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row>
    <row r="922" spans="1:24"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row>
    <row r="923" spans="1:24"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row>
    <row r="924" spans="1: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row>
    <row r="925" spans="1:24"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row>
    <row r="926" spans="1:24"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row>
    <row r="927" spans="1:24"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row>
    <row r="928" spans="1:24"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row>
    <row r="929" spans="1:24"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row>
    <row r="930" spans="1:24"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row>
    <row r="931" spans="1:24"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row>
    <row r="932" spans="1:24"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row>
    <row r="933" spans="1:24"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row>
    <row r="934" spans="1:2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row>
    <row r="935" spans="1:24"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row>
    <row r="936" spans="1:24"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row>
    <row r="937" spans="1:24"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row>
    <row r="938" spans="1:24"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row>
    <row r="939" spans="1:24"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row>
    <row r="940" spans="1:24"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row>
    <row r="941" spans="1:24"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row>
    <row r="942" spans="1:24"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row>
    <row r="943" spans="1:24"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row>
    <row r="944" spans="1:2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row>
    <row r="945" spans="1:24"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row>
    <row r="946" spans="1:24"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row>
    <row r="947" spans="1:24"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row>
    <row r="948" spans="1:24"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row>
    <row r="949" spans="1:24"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row>
    <row r="950" spans="1:24"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row>
    <row r="951" spans="1:24"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row>
    <row r="952" spans="1:24"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row>
    <row r="953" spans="1:24"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row>
    <row r="954" spans="1:2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row>
    <row r="955" spans="1:24"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row>
    <row r="956" spans="1:24"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row>
    <row r="957" spans="1:24"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row>
    <row r="958" spans="1:24"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row>
    <row r="959" spans="1:24"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row>
    <row r="960" spans="1:24"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row>
    <row r="961" spans="1:24"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row>
    <row r="962" spans="1:24"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row>
    <row r="963" spans="1:24"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row>
    <row r="964" spans="1:2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row>
    <row r="965" spans="1:24"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row>
    <row r="966" spans="1:24"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row>
    <row r="967" spans="1:24"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row>
    <row r="968" spans="1:24"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row>
    <row r="969" spans="1:24"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row>
    <row r="970" spans="1:24"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row>
    <row r="971" spans="1:24"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row>
    <row r="972" spans="1:24"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row>
    <row r="973" spans="1:24"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row>
    <row r="974" spans="1:2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row>
    <row r="975" spans="1:24"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row>
    <row r="976" spans="1:24"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row>
    <row r="977" spans="1:24"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row>
    <row r="978" spans="1:24"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row>
    <row r="979" spans="1:24"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row>
    <row r="980" spans="1:24"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row>
    <row r="981" spans="1:24"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row>
    <row r="982" spans="1:24"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row>
    <row r="983" spans="1:24"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row>
    <row r="984" spans="1:2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row>
    <row r="985" spans="1:24"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row>
    <row r="986" spans="1:24"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row>
    <row r="987" spans="1:24"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row>
    <row r="988" spans="1:24"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row>
    <row r="989" spans="1:24"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row>
    <row r="990" spans="1:24"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row>
    <row r="991" spans="1:24"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row>
    <row r="992" spans="1:24"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row>
    <row r="993" spans="1:24"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row>
    <row r="994" spans="1:2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row>
    <row r="995" spans="1:24"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row>
    <row r="996" spans="1:24"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row>
    <row r="997" spans="1:24"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row>
    <row r="998" spans="1:24"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row>
    <row r="999" spans="1:24"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row>
    <row r="1000" spans="1:24"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spans="1:24"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spans="1:24"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spans="1:24"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spans="1:24"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spans="1:24" ht="15" customHeight="1">
      <c r="A1005" s="5"/>
      <c r="B1005" s="5"/>
      <c r="C1005" s="5"/>
      <c r="D1005" s="5"/>
      <c r="E1005" s="5"/>
      <c r="F1005" s="5"/>
      <c r="G1005" s="5"/>
      <c r="I1005" s="5"/>
      <c r="J1005" s="5"/>
      <c r="K1005" s="5"/>
      <c r="L1005" s="5"/>
      <c r="M1005" s="5"/>
      <c r="N1005" s="5"/>
      <c r="O1005" s="5"/>
    </row>
    <row r="1006" spans="1:24" ht="15" customHeight="1">
      <c r="A1006" s="5"/>
      <c r="B1006" s="5"/>
      <c r="C1006" s="5"/>
      <c r="D1006" s="5"/>
      <c r="E1006" s="5"/>
      <c r="F1006" s="5"/>
      <c r="G1006" s="5"/>
      <c r="I1006" s="5"/>
      <c r="J1006" s="5"/>
      <c r="K1006" s="5"/>
      <c r="L1006" s="5"/>
      <c r="M1006" s="5"/>
      <c r="N1006" s="5"/>
      <c r="O1006" s="5"/>
    </row>
    <row r="1007" spans="1:24" ht="15" customHeight="1">
      <c r="A1007" s="5"/>
      <c r="B1007" s="5"/>
      <c r="C1007" s="5"/>
      <c r="D1007" s="5"/>
      <c r="E1007" s="5"/>
      <c r="F1007" s="5"/>
      <c r="G1007" s="5"/>
      <c r="I1007" s="5"/>
      <c r="J1007" s="5"/>
      <c r="K1007" s="5"/>
      <c r="L1007" s="5"/>
      <c r="M1007" s="5"/>
      <c r="N1007" s="5"/>
      <c r="O1007" s="5"/>
    </row>
    <row r="1008" spans="1:24" ht="15" customHeight="1">
      <c r="A1008" s="5"/>
      <c r="B1008" s="5"/>
      <c r="C1008" s="5"/>
      <c r="D1008" s="5"/>
      <c r="E1008" s="5"/>
      <c r="F1008" s="5"/>
      <c r="G1008" s="5"/>
      <c r="I1008" s="5"/>
      <c r="J1008" s="5"/>
      <c r="K1008" s="5"/>
      <c r="L1008" s="5"/>
      <c r="M1008" s="5"/>
      <c r="N1008" s="5"/>
      <c r="O1008" s="5"/>
    </row>
    <row r="1009" spans="1:15" ht="15" customHeight="1">
      <c r="A1009" s="5"/>
      <c r="B1009" s="5"/>
      <c r="C1009" s="5"/>
      <c r="D1009" s="5"/>
      <c r="E1009" s="5"/>
      <c r="F1009" s="5"/>
      <c r="G1009" s="5"/>
      <c r="I1009" s="5"/>
      <c r="J1009" s="5"/>
      <c r="K1009" s="5"/>
      <c r="L1009" s="5"/>
      <c r="M1009" s="5"/>
      <c r="N1009" s="5"/>
      <c r="O1009" s="5"/>
    </row>
    <row r="1010" spans="1:15" ht="15" customHeight="1">
      <c r="A1010" s="5"/>
      <c r="B1010" s="5"/>
      <c r="C1010" s="5"/>
      <c r="D1010" s="5"/>
      <c r="E1010" s="5"/>
      <c r="F1010" s="5"/>
      <c r="G1010" s="5"/>
      <c r="I1010" s="5"/>
      <c r="J1010" s="5"/>
      <c r="K1010" s="5"/>
      <c r="L1010" s="5"/>
      <c r="M1010" s="5"/>
      <c r="N1010" s="5"/>
      <c r="O1010" s="5"/>
    </row>
    <row r="1011" spans="1:15" ht="15" customHeight="1">
      <c r="A1011" s="5"/>
      <c r="B1011" s="5"/>
      <c r="C1011" s="5"/>
      <c r="D1011" s="5"/>
      <c r="E1011" s="5"/>
      <c r="F1011" s="5"/>
      <c r="G1011" s="5"/>
      <c r="I1011" s="5"/>
      <c r="J1011" s="5"/>
      <c r="K1011" s="5"/>
      <c r="L1011" s="5"/>
      <c r="M1011" s="5"/>
      <c r="N1011" s="5"/>
      <c r="O1011" s="5"/>
    </row>
    <row r="1012" spans="1:15" ht="15" customHeight="1">
      <c r="A1012" s="5"/>
      <c r="B1012" s="5"/>
      <c r="C1012" s="5"/>
      <c r="D1012" s="5"/>
      <c r="E1012" s="5"/>
      <c r="F1012" s="5"/>
      <c r="G1012" s="5"/>
      <c r="I1012" s="5"/>
      <c r="J1012" s="5"/>
      <c r="K1012" s="5"/>
      <c r="L1012" s="5"/>
      <c r="M1012" s="5"/>
      <c r="N1012" s="5"/>
      <c r="O1012" s="5"/>
    </row>
    <row r="1013" spans="1:15" ht="15" customHeight="1">
      <c r="A1013" s="5"/>
      <c r="B1013" s="5"/>
      <c r="C1013" s="5"/>
      <c r="D1013" s="5"/>
      <c r="E1013" s="5"/>
      <c r="F1013" s="5"/>
      <c r="G1013" s="5"/>
      <c r="I1013" s="5"/>
      <c r="J1013" s="5"/>
      <c r="K1013" s="5"/>
      <c r="L1013" s="5"/>
      <c r="M1013" s="5"/>
      <c r="N1013" s="5"/>
      <c r="O1013" s="5"/>
    </row>
    <row r="1014" spans="1:15" ht="15" customHeight="1">
      <c r="A1014" s="5"/>
      <c r="B1014" s="5"/>
      <c r="C1014" s="5"/>
      <c r="D1014" s="5"/>
      <c r="E1014" s="5"/>
      <c r="F1014" s="5"/>
      <c r="G1014" s="5"/>
      <c r="I1014" s="5"/>
      <c r="J1014" s="5"/>
      <c r="K1014" s="5"/>
      <c r="L1014" s="5"/>
      <c r="M1014" s="5"/>
      <c r="N1014" s="5"/>
      <c r="O1014" s="5"/>
    </row>
    <row r="1015" spans="1:15" ht="15" customHeight="1">
      <c r="A1015" s="5"/>
      <c r="B1015" s="5"/>
      <c r="C1015" s="5"/>
      <c r="D1015" s="5"/>
      <c r="E1015" s="5"/>
      <c r="F1015" s="5"/>
      <c r="G1015" s="5"/>
      <c r="I1015" s="5"/>
      <c r="J1015" s="5"/>
      <c r="K1015" s="5"/>
      <c r="L1015" s="5"/>
      <c r="M1015" s="5"/>
      <c r="N1015" s="5"/>
      <c r="O1015" s="5"/>
    </row>
    <row r="1016" spans="1:15" ht="15" customHeight="1">
      <c r="A1016" s="5"/>
      <c r="B1016" s="5"/>
      <c r="C1016" s="5"/>
      <c r="D1016" s="5"/>
      <c r="E1016" s="5"/>
      <c r="F1016" s="5"/>
      <c r="G1016" s="5"/>
      <c r="I1016" s="5"/>
      <c r="J1016" s="5"/>
      <c r="K1016" s="5"/>
      <c r="L1016" s="5"/>
      <c r="M1016" s="5"/>
      <c r="N1016" s="5"/>
      <c r="O1016" s="5"/>
    </row>
    <row r="1017" spans="1:15" ht="15" customHeight="1">
      <c r="A1017" s="5"/>
      <c r="B1017" s="5"/>
      <c r="C1017" s="5"/>
      <c r="D1017" s="5"/>
      <c r="E1017" s="5"/>
      <c r="F1017" s="5"/>
      <c r="G1017" s="5"/>
      <c r="I1017" s="5"/>
      <c r="J1017" s="5"/>
      <c r="K1017" s="5"/>
      <c r="L1017" s="5"/>
      <c r="M1017" s="5"/>
      <c r="N1017" s="5"/>
      <c r="O1017" s="5"/>
    </row>
    <row r="1018" spans="1:15" ht="15" customHeight="1">
      <c r="A1018" s="5"/>
      <c r="B1018" s="5"/>
      <c r="C1018" s="5"/>
      <c r="D1018" s="5"/>
      <c r="E1018" s="5"/>
      <c r="F1018" s="5"/>
      <c r="G1018" s="5"/>
      <c r="I1018" s="5"/>
      <c r="J1018" s="5"/>
      <c r="K1018" s="5"/>
      <c r="L1018" s="5"/>
      <c r="M1018" s="5"/>
      <c r="N1018" s="5"/>
      <c r="O1018" s="5"/>
    </row>
    <row r="1019" spans="1:15" ht="15" customHeight="1">
      <c r="A1019" s="5"/>
      <c r="B1019" s="5"/>
      <c r="C1019" s="5"/>
      <c r="D1019" s="5"/>
      <c r="E1019" s="5"/>
      <c r="F1019" s="5"/>
      <c r="G1019" s="5"/>
      <c r="I1019" s="5"/>
      <c r="J1019" s="5"/>
      <c r="K1019" s="5"/>
      <c r="L1019" s="5"/>
      <c r="M1019" s="5"/>
      <c r="N1019" s="5"/>
      <c r="O1019" s="5"/>
    </row>
    <row r="1020" spans="1:15" ht="15" customHeight="1">
      <c r="A1020" s="5"/>
      <c r="B1020" s="5"/>
      <c r="C1020" s="5"/>
      <c r="D1020" s="5"/>
      <c r="E1020" s="5"/>
      <c r="F1020" s="5"/>
      <c r="G1020" s="5"/>
      <c r="I1020" s="5"/>
      <c r="J1020" s="5"/>
      <c r="K1020" s="5"/>
      <c r="L1020" s="5"/>
      <c r="M1020" s="5"/>
      <c r="N1020" s="5"/>
      <c r="O1020" s="5"/>
    </row>
    <row r="1021" spans="1:15" ht="15" customHeight="1">
      <c r="A1021" s="5"/>
      <c r="B1021" s="5"/>
      <c r="C1021" s="5"/>
      <c r="D1021" s="5"/>
      <c r="E1021" s="5"/>
      <c r="F1021" s="5"/>
      <c r="G1021" s="5"/>
      <c r="I1021" s="5"/>
      <c r="J1021" s="5"/>
      <c r="K1021" s="5"/>
      <c r="L1021" s="5"/>
      <c r="M1021" s="5"/>
      <c r="N1021" s="5"/>
      <c r="O1021" s="5"/>
    </row>
    <row r="1022" spans="1:15" ht="15" customHeight="1">
      <c r="A1022" s="5"/>
      <c r="B1022" s="5"/>
      <c r="C1022" s="5"/>
      <c r="D1022" s="5"/>
      <c r="E1022" s="5"/>
      <c r="F1022" s="5"/>
      <c r="G1022" s="5"/>
      <c r="I1022" s="5"/>
      <c r="J1022" s="5"/>
      <c r="K1022" s="5"/>
      <c r="L1022" s="5"/>
      <c r="M1022" s="5"/>
      <c r="N1022" s="5"/>
      <c r="O1022" s="5"/>
    </row>
    <row r="1023" spans="1:15" ht="15" customHeight="1">
      <c r="A1023" s="5"/>
      <c r="B1023" s="5"/>
      <c r="C1023" s="5"/>
      <c r="D1023" s="5"/>
      <c r="E1023" s="5"/>
      <c r="F1023" s="5"/>
      <c r="G1023" s="5"/>
      <c r="I1023" s="5"/>
      <c r="J1023" s="5"/>
      <c r="K1023" s="5"/>
      <c r="L1023" s="5"/>
      <c r="M1023" s="5"/>
      <c r="N1023" s="5"/>
      <c r="O1023" s="5"/>
    </row>
    <row r="1024" spans="1:15" ht="15" customHeight="1">
      <c r="A1024" s="5"/>
      <c r="B1024" s="5"/>
      <c r="I1024" s="5"/>
      <c r="J1024" s="5"/>
      <c r="K1024" s="5"/>
      <c r="L1024" s="5"/>
      <c r="M1024" s="5"/>
      <c r="N1024" s="5"/>
      <c r="O1024" s="5"/>
    </row>
    <row r="1025" spans="1:15" ht="15" customHeight="1">
      <c r="A1025" s="5"/>
      <c r="B1025" s="5"/>
      <c r="I1025" s="5"/>
      <c r="J1025" s="5"/>
      <c r="K1025" s="5"/>
      <c r="L1025" s="5"/>
      <c r="M1025" s="5"/>
      <c r="N1025" s="5"/>
      <c r="O1025" s="5"/>
    </row>
    <row r="1026" spans="1:15" ht="15" customHeight="1">
      <c r="A1026" s="5"/>
      <c r="B1026" s="5"/>
      <c r="I1026" s="5"/>
      <c r="J1026" s="5"/>
      <c r="K1026" s="5"/>
      <c r="L1026" s="5"/>
      <c r="M1026" s="5"/>
      <c r="N1026" s="5"/>
      <c r="O1026" s="5"/>
    </row>
    <row r="1027" spans="1:15" ht="15" customHeight="1">
      <c r="A1027" s="5"/>
      <c r="B1027" s="5"/>
      <c r="I1027" s="5"/>
      <c r="J1027" s="5"/>
      <c r="K1027" s="5"/>
      <c r="L1027" s="5"/>
      <c r="M1027" s="5"/>
      <c r="N1027" s="5"/>
      <c r="O1027" s="5"/>
    </row>
    <row r="1028" spans="1:15" ht="15" customHeight="1">
      <c r="A1028" s="5"/>
      <c r="B1028" s="5"/>
      <c r="I1028" s="5"/>
      <c r="J1028" s="5"/>
      <c r="K1028" s="5"/>
      <c r="L1028" s="5"/>
      <c r="M1028" s="5"/>
      <c r="N1028" s="5"/>
      <c r="O1028" s="5"/>
    </row>
    <row r="1029" spans="1:15" ht="15" customHeight="1">
      <c r="A1029" s="5"/>
      <c r="B1029" s="5"/>
    </row>
    <row r="1030" spans="1:15" ht="15" customHeight="1">
      <c r="A1030" s="5"/>
      <c r="B1030" s="5"/>
    </row>
    <row r="1031" spans="1:15" ht="15" customHeight="1">
      <c r="A1031" s="5"/>
      <c r="B1031" s="5"/>
    </row>
  </sheetData>
  <mergeCells count="13">
    <mergeCell ref="P34:AC34"/>
    <mergeCell ref="A62:N62"/>
    <mergeCell ref="A52:N52"/>
    <mergeCell ref="A48:N48"/>
    <mergeCell ref="P2:AC2"/>
    <mergeCell ref="A90:B90"/>
    <mergeCell ref="A1:O1"/>
    <mergeCell ref="A2:G2"/>
    <mergeCell ref="A20:G20"/>
    <mergeCell ref="A38:G38"/>
    <mergeCell ref="P52:V52"/>
    <mergeCell ref="P70:V70"/>
    <mergeCell ref="A72:N72"/>
  </mergeCells>
  <pageMargins left="0.70000000000000007" right="0.70000000000000007" top="0.75000000000000011" bottom="0.75000000000000011"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Q1000"/>
  <sheetViews>
    <sheetView workbookViewId="0">
      <selection activeCell="Q7" sqref="Q7"/>
    </sheetView>
  </sheetViews>
  <sheetFormatPr defaultColWidth="14.42578125" defaultRowHeight="15" customHeight="1"/>
  <cols>
    <col min="1" max="1" width="23.7109375" customWidth="1"/>
    <col min="2" max="2" width="20.7109375" customWidth="1"/>
    <col min="3" max="3" width="16.28515625" customWidth="1"/>
    <col min="4" max="4" width="15.28515625" customWidth="1"/>
    <col min="5" max="5" width="16.140625" customWidth="1"/>
    <col min="6" max="6" width="15.85546875" customWidth="1"/>
    <col min="7" max="7" width="16.7109375" customWidth="1"/>
    <col min="8" max="8" width="22.28515625" customWidth="1"/>
    <col min="10" max="10" width="18.85546875" customWidth="1"/>
  </cols>
  <sheetData>
    <row r="1" spans="1:17" ht="90.75" customHeight="1">
      <c r="A1" s="131" t="s">
        <v>37</v>
      </c>
      <c r="B1" s="128"/>
      <c r="C1" s="128"/>
      <c r="D1" s="128"/>
      <c r="E1" s="128"/>
      <c r="F1" s="128"/>
      <c r="G1" s="128"/>
      <c r="H1" s="128"/>
      <c r="I1" s="128"/>
      <c r="J1" s="128"/>
    </row>
    <row r="2" spans="1:17" ht="12.75" customHeight="1">
      <c r="A2" s="132" t="s">
        <v>38</v>
      </c>
      <c r="B2" s="153" t="s">
        <v>39</v>
      </c>
      <c r="C2" s="154"/>
      <c r="D2" s="154"/>
      <c r="E2" s="154"/>
      <c r="F2" s="154"/>
      <c r="G2" s="154"/>
      <c r="H2" s="154"/>
      <c r="I2" s="154"/>
      <c r="J2" s="154"/>
      <c r="K2" s="154"/>
      <c r="L2" s="154"/>
      <c r="M2" s="154"/>
      <c r="N2" s="155"/>
      <c r="O2" s="150" t="s">
        <v>40</v>
      </c>
      <c r="P2" s="147" t="s">
        <v>41</v>
      </c>
    </row>
    <row r="3" spans="1:17" ht="12.75" customHeight="1">
      <c r="A3" s="114"/>
      <c r="B3" s="156"/>
      <c r="C3" s="157"/>
      <c r="D3" s="157"/>
      <c r="E3" s="157"/>
      <c r="F3" s="157"/>
      <c r="G3" s="157"/>
      <c r="H3" s="157"/>
      <c r="I3" s="157"/>
      <c r="J3" s="157"/>
      <c r="K3" s="157"/>
      <c r="L3" s="157"/>
      <c r="M3" s="157"/>
      <c r="N3" s="158"/>
      <c r="O3" s="151"/>
      <c r="P3" s="148"/>
    </row>
    <row r="4" spans="1:17" ht="12.75" customHeight="1">
      <c r="A4" s="51" t="s">
        <v>42</v>
      </c>
      <c r="B4" s="52">
        <f>'CALCULOS AUXILIARES'!B3</f>
        <v>46113</v>
      </c>
      <c r="C4" s="52">
        <f>'CALCULOS AUXILIARES'!C3</f>
        <v>46144</v>
      </c>
      <c r="D4" s="52">
        <f>'CALCULOS AUXILIARES'!D3</f>
        <v>46175</v>
      </c>
      <c r="E4" s="52">
        <f>'CALCULOS AUXILIARES'!E3</f>
        <v>46206</v>
      </c>
      <c r="F4" s="52">
        <f>'CALCULOS AUXILIARES'!F3</f>
        <v>46237</v>
      </c>
      <c r="G4" s="52">
        <f>'CALCULOS AUXILIARES'!G3</f>
        <v>46268</v>
      </c>
      <c r="H4" s="52">
        <f>'CALCULOS AUXILIARES'!H3</f>
        <v>46299</v>
      </c>
      <c r="I4" s="52">
        <f>'CALCULOS AUXILIARES'!I3</f>
        <v>46330</v>
      </c>
      <c r="J4" s="52">
        <f>'CALCULOS AUXILIARES'!J3</f>
        <v>46361</v>
      </c>
      <c r="K4" s="52">
        <f>'CALCULOS AUXILIARES'!K3</f>
        <v>46392</v>
      </c>
      <c r="L4" s="52">
        <f>'CALCULOS AUXILIARES'!L3</f>
        <v>46423</v>
      </c>
      <c r="M4" s="52">
        <f>'CALCULOS AUXILIARES'!M3</f>
        <v>46454</v>
      </c>
      <c r="N4" s="52">
        <f>'CALCULOS AUXILIARES'!N3</f>
        <v>46485</v>
      </c>
      <c r="O4" s="152"/>
      <c r="P4" s="149"/>
    </row>
    <row r="5" spans="1:17" ht="12.75" customHeight="1">
      <c r="A5" s="53" t="str">
        <f>INSTRUCCIONES!A2</f>
        <v>Project Manager</v>
      </c>
      <c r="B5" s="54">
        <f>'CALCULOS AUXILIARES'!B109</f>
        <v>4101.3441221877192</v>
      </c>
      <c r="C5" s="54">
        <f>'CALCULOS AUXILIARES'!C109</f>
        <v>4394.2972737725568</v>
      </c>
      <c r="D5" s="54">
        <f>'CALCULOS AUXILIARES'!D109</f>
        <v>4394.2972737725568</v>
      </c>
      <c r="E5" s="54">
        <f>'CALCULOS AUXILIARES'!E109</f>
        <v>4394.2972737725568</v>
      </c>
      <c r="F5" s="54">
        <f>'CALCULOS AUXILIARES'!F109</f>
        <v>4394.2972737725568</v>
      </c>
      <c r="G5" s="54">
        <f>'CALCULOS AUXILIARES'!G109</f>
        <v>4394.2972737725568</v>
      </c>
      <c r="H5" s="54">
        <f>'CALCULOS AUXILIARES'!H109</f>
        <v>4394.2972737725568</v>
      </c>
      <c r="I5" s="54">
        <f>'CALCULOS AUXILIARES'!I109</f>
        <v>4394.2972737725568</v>
      </c>
      <c r="J5" s="54">
        <f>'CALCULOS AUXILIARES'!J109</f>
        <v>4394.2972737725568</v>
      </c>
      <c r="K5" s="54">
        <f>'CALCULOS AUXILIARES'!K109</f>
        <v>4394.2972737725568</v>
      </c>
      <c r="L5" s="54">
        <f>'CALCULOS AUXILIARES'!L109</f>
        <v>4394.2972737725568</v>
      </c>
      <c r="M5" s="54">
        <f>'CALCULOS AUXILIARES'!M109</f>
        <v>4394.2972737725568</v>
      </c>
      <c r="N5" s="54">
        <f>'CALCULOS AUXILIARES'!N109</f>
        <v>4394.2972737725568</v>
      </c>
      <c r="O5" s="55">
        <f>SUM(B5:N5)</f>
        <v>56832.911407458407</v>
      </c>
      <c r="P5" s="56"/>
    </row>
    <row r="6" spans="1:17" ht="12.75" customHeight="1">
      <c r="A6" s="53" t="str">
        <f>INSTRUCCIONES!A8</f>
        <v>Arquitecto de Software</v>
      </c>
      <c r="B6" s="54">
        <f>'CALCULOS AUXILIARES'!B110</f>
        <v>3859.9415807560131</v>
      </c>
      <c r="C6" s="54">
        <f>'CALCULOS AUXILIARES'!C110</f>
        <v>4135.6516936671578</v>
      </c>
      <c r="D6" s="54">
        <f>'CALCULOS AUXILIARES'!D110</f>
        <v>4135.6516936671578</v>
      </c>
      <c r="E6" s="54">
        <f>'CALCULOS AUXILIARES'!E110</f>
        <v>4135.6516936671578</v>
      </c>
      <c r="F6" s="54">
        <f>'CALCULOS AUXILIARES'!F110</f>
        <v>4135.6516936671578</v>
      </c>
      <c r="G6" s="54">
        <f>'CALCULOS AUXILIARES'!G110</f>
        <v>4135.6516936671578</v>
      </c>
      <c r="H6" s="54">
        <f>'CALCULOS AUXILIARES'!H110</f>
        <v>4135.6516936671578</v>
      </c>
      <c r="I6" s="54">
        <f>'CALCULOS AUXILIARES'!I110</f>
        <v>4135.6516936671578</v>
      </c>
      <c r="J6" s="54">
        <f>'CALCULOS AUXILIARES'!J110</f>
        <v>4135.6516936671578</v>
      </c>
      <c r="K6" s="54">
        <f>'CALCULOS AUXILIARES'!K110</f>
        <v>4135.6516936671578</v>
      </c>
      <c r="L6" s="54">
        <f>'CALCULOS AUXILIARES'!L110</f>
        <v>4135.6516936671578</v>
      </c>
      <c r="M6" s="54">
        <f>'CALCULOS AUXILIARES'!M110</f>
        <v>4135.6516936671578</v>
      </c>
      <c r="N6" s="54">
        <f>'CALCULOS AUXILIARES'!N110</f>
        <v>4135.6516936671578</v>
      </c>
      <c r="O6" s="55">
        <f>SUM(B6:N6)</f>
        <v>53487.761904761894</v>
      </c>
      <c r="P6" s="56"/>
    </row>
    <row r="7" spans="1:17" ht="12.75" customHeight="1">
      <c r="A7" s="53" t="str">
        <f>INSTRUCCIONES!A9</f>
        <v>DevOps</v>
      </c>
      <c r="B7" s="54">
        <f>'CALCULOS AUXILIARES'!B111</f>
        <v>3766.1804123711336</v>
      </c>
      <c r="C7" s="54">
        <f>'CALCULOS AUXILIARES'!C111</f>
        <v>4035.1932989690722</v>
      </c>
      <c r="D7" s="54">
        <f>'CALCULOS AUXILIARES'!D111</f>
        <v>4035.1932989690722</v>
      </c>
      <c r="E7" s="54">
        <f>'CALCULOS AUXILIARES'!E111</f>
        <v>4035.1932989690722</v>
      </c>
      <c r="F7" s="54">
        <f>'CALCULOS AUXILIARES'!F111</f>
        <v>4035.1932989690722</v>
      </c>
      <c r="G7" s="54">
        <f>'CALCULOS AUXILIARES'!G111</f>
        <v>4035.1932989690722</v>
      </c>
      <c r="H7" s="54">
        <f>'CALCULOS AUXILIARES'!H111</f>
        <v>4035.1932989690722</v>
      </c>
      <c r="I7" s="54">
        <f>'CALCULOS AUXILIARES'!I111</f>
        <v>4035.1932989690722</v>
      </c>
      <c r="J7" s="54">
        <f>'CALCULOS AUXILIARES'!J111</f>
        <v>4035.1932989690722</v>
      </c>
      <c r="K7" s="54">
        <f>'CALCULOS AUXILIARES'!K111</f>
        <v>4035.1932989690722</v>
      </c>
      <c r="L7" s="54">
        <f>'CALCULOS AUXILIARES'!L111</f>
        <v>4035.1932989690722</v>
      </c>
      <c r="M7" s="54">
        <f>'CALCULOS AUXILIARES'!M111</f>
        <v>4035.1932989690722</v>
      </c>
      <c r="N7" s="54">
        <f>'CALCULOS AUXILIARES'!N111</f>
        <v>4035.1932989690722</v>
      </c>
      <c r="O7" s="55">
        <f>SUM(B7:N7)</f>
        <v>52188.499999999985</v>
      </c>
      <c r="P7" s="57"/>
    </row>
    <row r="8" spans="1:17" ht="12.75" customHeight="1">
      <c r="A8" s="53" t="str">
        <f>INSTRUCCIONES!A10</f>
        <v>Responsable de Seguridad</v>
      </c>
      <c r="B8" s="54">
        <f>'CALCULOS AUXILIARES'!B112</f>
        <v>3944.3492768268943</v>
      </c>
      <c r="C8" s="54">
        <f>'CALCULOS AUXILIARES'!C112</f>
        <v>4226.0885108859593</v>
      </c>
      <c r="D8" s="54">
        <f>'CALCULOS AUXILIARES'!D112</f>
        <v>4226.0885108859593</v>
      </c>
      <c r="E8" s="54">
        <f>'CALCULOS AUXILIARES'!E112</f>
        <v>4226.0885108859593</v>
      </c>
      <c r="F8" s="54">
        <f>'CALCULOS AUXILIARES'!F112</f>
        <v>4226.0885108859593</v>
      </c>
      <c r="G8" s="54">
        <f>'CALCULOS AUXILIARES'!G112</f>
        <v>4226.0885108859593</v>
      </c>
      <c r="H8" s="54">
        <f>'CALCULOS AUXILIARES'!H112</f>
        <v>4226.0885108859593</v>
      </c>
      <c r="I8" s="54">
        <f>'CALCULOS AUXILIARES'!I112</f>
        <v>4226.0885108859593</v>
      </c>
      <c r="J8" s="54">
        <f>'CALCULOS AUXILIARES'!J112</f>
        <v>4226.0885108859593</v>
      </c>
      <c r="K8" s="54">
        <f>'CALCULOS AUXILIARES'!K112</f>
        <v>4226.0885108859593</v>
      </c>
      <c r="L8" s="54">
        <f>'CALCULOS AUXILIARES'!L112</f>
        <v>4226.0885108859593</v>
      </c>
      <c r="M8" s="54">
        <f>'CALCULOS AUXILIARES'!M112</f>
        <v>4226.0885108859593</v>
      </c>
      <c r="N8" s="54">
        <f>'CALCULOS AUXILIARES'!N112</f>
        <v>4226.0885108859593</v>
      </c>
      <c r="O8" s="55">
        <f>SUM(B8:N8)</f>
        <v>54657.411407458399</v>
      </c>
      <c r="P8" s="57"/>
    </row>
    <row r="9" spans="1:17" ht="12.75" customHeight="1">
      <c r="A9" s="53" t="str">
        <f>INSTRUCCIONES!A11</f>
        <v>Arquitecto de Base de Datos</v>
      </c>
      <c r="B9" s="54">
        <f>'CALCULOS AUXILIARES'!B113</f>
        <v>3926.9214417753483</v>
      </c>
      <c r="C9" s="54">
        <f>'CALCULOS AUXILIARES'!C113</f>
        <v>4207.4158304735874</v>
      </c>
      <c r="D9" s="54">
        <f>'CALCULOS AUXILIARES'!D113</f>
        <v>4207.4158304735874</v>
      </c>
      <c r="E9" s="54">
        <f>'CALCULOS AUXILIARES'!E113</f>
        <v>4207.4158304735874</v>
      </c>
      <c r="F9" s="54">
        <f>'CALCULOS AUXILIARES'!F113</f>
        <v>4207.4158304735874</v>
      </c>
      <c r="G9" s="54">
        <f>'CALCULOS AUXILIARES'!G113</f>
        <v>4207.4158304735874</v>
      </c>
      <c r="H9" s="54">
        <f>'CALCULOS AUXILIARES'!H113</f>
        <v>4207.4158304735874</v>
      </c>
      <c r="I9" s="54">
        <f>'CALCULOS AUXILIARES'!I113</f>
        <v>4207.4158304735874</v>
      </c>
      <c r="J9" s="54">
        <f>'CALCULOS AUXILIARES'!J113</f>
        <v>4207.4158304735874</v>
      </c>
      <c r="K9" s="54">
        <f>'CALCULOS AUXILIARES'!K113</f>
        <v>4207.4158304735874</v>
      </c>
      <c r="L9" s="54">
        <f>'CALCULOS AUXILIARES'!L113</f>
        <v>4207.4158304735874</v>
      </c>
      <c r="M9" s="54">
        <f>'CALCULOS AUXILIARES'!M113</f>
        <v>4207.4158304735874</v>
      </c>
      <c r="N9" s="54">
        <f>'CALCULOS AUXILIARES'!N113</f>
        <v>4207.4158304735874</v>
      </c>
      <c r="O9" s="55">
        <f>SUM(B9:N9)</f>
        <v>54415.911407458407</v>
      </c>
      <c r="P9" s="57"/>
    </row>
    <row r="10" spans="1:17" ht="12.75" customHeight="1">
      <c r="A10" s="53" t="str">
        <f>INSTRUCCIONES!A12</f>
        <v>Desarrollador Backend</v>
      </c>
      <c r="B10" s="54">
        <f>'CALCULOS AUXILIARES'!B114</f>
        <v>3926.9936067238018</v>
      </c>
      <c r="C10" s="54">
        <f>'CALCULOS AUXILIARES'!C114</f>
        <v>4207.4931500612165</v>
      </c>
      <c r="D10" s="54">
        <f>'CALCULOS AUXILIARES'!D114</f>
        <v>4207.4931500612165</v>
      </c>
      <c r="E10" s="54">
        <f>'CALCULOS AUXILIARES'!E114</f>
        <v>4207.4931500612165</v>
      </c>
      <c r="F10" s="54">
        <f>'CALCULOS AUXILIARES'!F114</f>
        <v>4207.4931500612165</v>
      </c>
      <c r="G10" s="54">
        <f>'CALCULOS AUXILIARES'!G114</f>
        <v>4207.4931500612165</v>
      </c>
      <c r="H10" s="54">
        <f>'CALCULOS AUXILIARES'!H114</f>
        <v>4207.4931500612165</v>
      </c>
      <c r="I10" s="54">
        <f>'CALCULOS AUXILIARES'!I114</f>
        <v>4207.4931500612165</v>
      </c>
      <c r="J10" s="54">
        <f>'CALCULOS AUXILIARES'!J114</f>
        <v>4207.4931500612165</v>
      </c>
      <c r="K10" s="54">
        <f>'CALCULOS AUXILIARES'!K114</f>
        <v>4207.4931500612165</v>
      </c>
      <c r="L10" s="54">
        <f>'CALCULOS AUXILIARES'!L114</f>
        <v>4207.4931500612165</v>
      </c>
      <c r="M10" s="54">
        <f>'CALCULOS AUXILIARES'!M114</f>
        <v>4207.4931500612165</v>
      </c>
      <c r="N10" s="54">
        <f>'CALCULOS AUXILIARES'!N114</f>
        <v>4207.4931500612165</v>
      </c>
      <c r="O10" s="55">
        <f>SUM(B10:N10)</f>
        <v>54416.911407458385</v>
      </c>
      <c r="P10" s="57"/>
    </row>
    <row r="11" spans="1:17" ht="12.75" customHeight="1">
      <c r="A11" s="53" t="str">
        <f>INSTRUCCIONES!A13</f>
        <v>Desarrollador Frontend</v>
      </c>
      <c r="B11" s="54">
        <f>'CALCULOS AUXILIARES'!B115</f>
        <v>3927.0657716722553</v>
      </c>
      <c r="C11" s="54">
        <f>'CALCULOS AUXILIARES'!C115</f>
        <v>4207.5704696488456</v>
      </c>
      <c r="D11" s="54">
        <f>'CALCULOS AUXILIARES'!D115</f>
        <v>4207.5704696488456</v>
      </c>
      <c r="E11" s="54">
        <f>'CALCULOS AUXILIARES'!E115</f>
        <v>4207.5704696488456</v>
      </c>
      <c r="F11" s="54">
        <f>'CALCULOS AUXILIARES'!F115</f>
        <v>4207.5704696488456</v>
      </c>
      <c r="G11" s="54">
        <f>'CALCULOS AUXILIARES'!G115</f>
        <v>4207.5704696488456</v>
      </c>
      <c r="H11" s="54">
        <f>'CALCULOS AUXILIARES'!H115</f>
        <v>4207.5704696488456</v>
      </c>
      <c r="I11" s="54">
        <f>'CALCULOS AUXILIARES'!I115</f>
        <v>4207.5704696488456</v>
      </c>
      <c r="J11" s="54">
        <f>'CALCULOS AUXILIARES'!J115</f>
        <v>4207.5704696488456</v>
      </c>
      <c r="K11" s="54">
        <f>'CALCULOS AUXILIARES'!K115</f>
        <v>4207.5704696488456</v>
      </c>
      <c r="L11" s="54">
        <f>'CALCULOS AUXILIARES'!L115</f>
        <v>4207.5704696488456</v>
      </c>
      <c r="M11" s="54">
        <f>'CALCULOS AUXILIARES'!M115</f>
        <v>4207.5704696488456</v>
      </c>
      <c r="N11" s="54">
        <f>'CALCULOS AUXILIARES'!N115</f>
        <v>4207.5704696488456</v>
      </c>
      <c r="O11" s="55">
        <f>SUM(B11:N11)</f>
        <v>54417.911407458407</v>
      </c>
      <c r="P11" s="57"/>
    </row>
    <row r="12" spans="1:17" ht="12.75" customHeight="1">
      <c r="A12" s="53" t="str">
        <f>INSTRUCCIONES!A14</f>
        <v>QA Consultant</v>
      </c>
      <c r="B12" s="54">
        <f>'CALCULOS AUXILIARES'!B116</f>
        <v>8059.7531148771095</v>
      </c>
      <c r="C12" s="54">
        <f>'CALCULOS AUXILIARES'!C116</f>
        <v>8635.4497659397621</v>
      </c>
      <c r="D12" s="54">
        <f>'CALCULOS AUXILIARES'!D116</f>
        <v>8635.4497659397621</v>
      </c>
      <c r="E12" s="54">
        <f>'CALCULOS AUXILIARES'!E116</f>
        <v>8635.4497659397621</v>
      </c>
      <c r="F12" s="54">
        <f>'CALCULOS AUXILIARES'!F116</f>
        <v>8635.4497659397621</v>
      </c>
      <c r="G12" s="54">
        <f>'CALCULOS AUXILIARES'!G116</f>
        <v>8635.4497659397621</v>
      </c>
      <c r="H12" s="54">
        <f>'CALCULOS AUXILIARES'!H116</f>
        <v>8635.4497659397621</v>
      </c>
      <c r="I12" s="54">
        <f>'CALCULOS AUXILIARES'!I116</f>
        <v>8635.4497659397621</v>
      </c>
      <c r="J12" s="54">
        <f>'CALCULOS AUXILIARES'!J116</f>
        <v>8635.4497659397621</v>
      </c>
      <c r="K12" s="54">
        <f>'CALCULOS AUXILIARES'!K116</f>
        <v>8635.4497659397621</v>
      </c>
      <c r="L12" s="54">
        <f>'CALCULOS AUXILIARES'!L116</f>
        <v>8635.4497659397621</v>
      </c>
      <c r="M12" s="54">
        <f>'CALCULOS AUXILIARES'!M116</f>
        <v>8635.4497659397621</v>
      </c>
      <c r="N12" s="54">
        <f>'CALCULOS AUXILIARES'!N116</f>
        <v>8635.4497659397621</v>
      </c>
      <c r="O12" s="55">
        <f>SUM(B12:N12)</f>
        <v>111685.15030615425</v>
      </c>
      <c r="P12" s="61"/>
    </row>
    <row r="13" spans="1:17" ht="12.75" customHeight="1">
      <c r="A13" s="53" t="str">
        <f>INSTRUCCIONES!A15</f>
        <v>Soporte</v>
      </c>
      <c r="B13" s="54">
        <f>'CALCULOS AUXILIARES'!B117</f>
        <v>3609.1134020618551</v>
      </c>
      <c r="C13" s="54">
        <f>'CALCULOS AUXILIARES'!C117</f>
        <v>3866.9072164948457</v>
      </c>
      <c r="D13" s="54">
        <f>'CALCULOS AUXILIARES'!D117</f>
        <v>3866.9072164948457</v>
      </c>
      <c r="E13" s="54">
        <f>'CALCULOS AUXILIARES'!E117</f>
        <v>3866.9072164948457</v>
      </c>
      <c r="F13" s="54">
        <f>'CALCULOS AUXILIARES'!F117</f>
        <v>3866.9072164948457</v>
      </c>
      <c r="G13" s="54">
        <f>'CALCULOS AUXILIARES'!G117</f>
        <v>3866.9072164948457</v>
      </c>
      <c r="H13" s="54">
        <f>'CALCULOS AUXILIARES'!H117</f>
        <v>3866.9072164948457</v>
      </c>
      <c r="I13" s="54">
        <f>'CALCULOS AUXILIARES'!I117</f>
        <v>3866.9072164948457</v>
      </c>
      <c r="J13" s="54">
        <f>'CALCULOS AUXILIARES'!J117</f>
        <v>3866.9072164948457</v>
      </c>
      <c r="K13" s="54">
        <f>'CALCULOS AUXILIARES'!K117</f>
        <v>3866.9072164948457</v>
      </c>
      <c r="L13" s="54">
        <f>'CALCULOS AUXILIARES'!L117</f>
        <v>3866.9072164948457</v>
      </c>
      <c r="M13" s="54">
        <f>'CALCULOS AUXILIARES'!M117</f>
        <v>3866.9072164948457</v>
      </c>
      <c r="N13" s="54">
        <f>'CALCULOS AUXILIARES'!N117</f>
        <v>3866.9072164948457</v>
      </c>
      <c r="O13" s="55">
        <f>SUM(B13:N13)</f>
        <v>50011.999999999993</v>
      </c>
      <c r="P13" s="62"/>
      <c r="Q13" s="62"/>
    </row>
    <row r="14" spans="1:17" ht="12.75" customHeight="1">
      <c r="A14" s="53" t="e">
        <f>INSTRUCCIONES!#REF!</f>
        <v>#REF!</v>
      </c>
      <c r="B14" s="54">
        <f>'CALCULOS AUXILIARES'!B118</f>
        <v>39121.66272925213</v>
      </c>
      <c r="C14" s="54">
        <f>'CALCULOS AUXILIARES'!C118</f>
        <v>41916.067209913002</v>
      </c>
      <c r="D14" s="54">
        <f>'CALCULOS AUXILIARES'!D118</f>
        <v>41916.067209913002</v>
      </c>
      <c r="E14" s="54">
        <f>'CALCULOS AUXILIARES'!E118</f>
        <v>41916.067209913002</v>
      </c>
      <c r="F14" s="54">
        <f>'CALCULOS AUXILIARES'!F118</f>
        <v>41916.067209913002</v>
      </c>
      <c r="G14" s="54">
        <f>'CALCULOS AUXILIARES'!G118</f>
        <v>41916.067209913002</v>
      </c>
      <c r="H14" s="54">
        <f>'CALCULOS AUXILIARES'!H118</f>
        <v>41916.067209913002</v>
      </c>
      <c r="I14" s="54">
        <f>'CALCULOS AUXILIARES'!I118</f>
        <v>41916.067209913002</v>
      </c>
      <c r="J14" s="54">
        <f>'CALCULOS AUXILIARES'!J118</f>
        <v>41916.067209913002</v>
      </c>
      <c r="K14" s="54">
        <f>'CALCULOS AUXILIARES'!K118</f>
        <v>41916.067209913002</v>
      </c>
      <c r="L14" s="54">
        <f>'CALCULOS AUXILIARES'!L118</f>
        <v>41916.067209913002</v>
      </c>
      <c r="M14" s="54">
        <f>'CALCULOS AUXILIARES'!M118</f>
        <v>41916.067209913002</v>
      </c>
      <c r="N14" s="54">
        <f>'CALCULOS AUXILIARES'!N118</f>
        <v>41916.067209913002</v>
      </c>
      <c r="O14" s="55">
        <f>SUM(B14:N14)</f>
        <v>542114.4692482081</v>
      </c>
      <c r="P14" s="62"/>
      <c r="Q14" s="62"/>
    </row>
    <row r="15" spans="1:17" ht="12.75" customHeight="1">
      <c r="A15" s="58" t="s">
        <v>43</v>
      </c>
      <c r="B15" s="59">
        <f>SUM(B5:B14)</f>
        <v>78243.32545850426</v>
      </c>
      <c r="C15" s="59">
        <f>SUM(C5:C14)</f>
        <v>83832.134419826005</v>
      </c>
      <c r="D15" s="59">
        <f t="shared" ref="D15:N15" si="0">SUM(D5:D14)</f>
        <v>83832.134419826005</v>
      </c>
      <c r="E15" s="59">
        <f t="shared" si="0"/>
        <v>83832.134419826005</v>
      </c>
      <c r="F15" s="59">
        <f t="shared" si="0"/>
        <v>83832.134419826005</v>
      </c>
      <c r="G15" s="59">
        <f t="shared" si="0"/>
        <v>83832.134419826005</v>
      </c>
      <c r="H15" s="59">
        <f t="shared" si="0"/>
        <v>83832.134419826005</v>
      </c>
      <c r="I15" s="59">
        <f t="shared" si="0"/>
        <v>83832.134419826005</v>
      </c>
      <c r="J15" s="59">
        <f t="shared" si="0"/>
        <v>83832.134419826005</v>
      </c>
      <c r="K15" s="59">
        <f t="shared" si="0"/>
        <v>83832.134419826005</v>
      </c>
      <c r="L15" s="59">
        <f t="shared" si="0"/>
        <v>83832.134419826005</v>
      </c>
      <c r="M15" s="59">
        <f t="shared" si="0"/>
        <v>83832.134419826005</v>
      </c>
      <c r="N15" s="59">
        <f>SUM(N5:N14)</f>
        <v>83832.134419826005</v>
      </c>
      <c r="O15" s="60">
        <f>SUM(O5:O14)</f>
        <v>1084228.9384964162</v>
      </c>
      <c r="P15" s="62"/>
      <c r="Q15" s="62"/>
    </row>
    <row r="16" spans="1:17" ht="12.75" customHeight="1">
      <c r="A16" s="62"/>
      <c r="B16" s="62"/>
      <c r="C16" s="62"/>
      <c r="D16" s="62"/>
      <c r="E16" s="62"/>
      <c r="F16" s="62"/>
      <c r="G16" s="62"/>
      <c r="H16" s="63"/>
    </row>
    <row r="17" spans="1:8" ht="12.75" customHeight="1">
      <c r="A17" s="64" t="s">
        <v>44</v>
      </c>
      <c r="B17" s="65">
        <f>$O$15</f>
        <v>1084228.9384964162</v>
      </c>
      <c r="C17" s="62"/>
      <c r="D17" s="62"/>
      <c r="E17" s="62"/>
      <c r="F17" s="62"/>
      <c r="G17" s="62"/>
      <c r="H17" s="63"/>
    </row>
    <row r="18" spans="1:8" ht="12.75" customHeight="1">
      <c r="A18" s="64" t="s">
        <v>45</v>
      </c>
      <c r="B18" s="65">
        <f>AVERAGE(B15:N15)</f>
        <v>83402.226038185865</v>
      </c>
      <c r="C18" s="62"/>
      <c r="D18" s="62"/>
      <c r="E18" s="62"/>
      <c r="F18" s="62"/>
      <c r="G18" s="62"/>
      <c r="H18" s="63"/>
    </row>
    <row r="19" spans="1:8" ht="12.75" customHeight="1">
      <c r="H19" s="66"/>
    </row>
    <row r="20" spans="1:8" ht="12.75" customHeight="1">
      <c r="H20" s="66"/>
    </row>
    <row r="21" spans="1:8" ht="12.75" customHeight="1">
      <c r="H21" s="66"/>
    </row>
    <row r="22" spans="1:8" ht="12.75" customHeight="1">
      <c r="H22" s="66"/>
    </row>
    <row r="23" spans="1:8" ht="12.75" customHeight="1">
      <c r="H23" s="66"/>
    </row>
    <row r="24" spans="1:8" ht="12.75" customHeight="1">
      <c r="H24" s="66"/>
    </row>
    <row r="25" spans="1:8" ht="12.75" customHeight="1">
      <c r="H25" s="66"/>
    </row>
    <row r="26" spans="1:8" ht="12.75" customHeight="1">
      <c r="H26" s="66"/>
    </row>
    <row r="27" spans="1:8" ht="12.75" customHeight="1">
      <c r="H27" s="66"/>
    </row>
    <row r="28" spans="1:8" ht="12.75" customHeight="1">
      <c r="H28" s="66"/>
    </row>
    <row r="29" spans="1:8" ht="12.75" customHeight="1">
      <c r="H29" s="66"/>
    </row>
    <row r="30" spans="1:8" ht="12.75" customHeight="1">
      <c r="H30" s="66"/>
    </row>
    <row r="31" spans="1:8" ht="12.75" customHeight="1">
      <c r="H31" s="66"/>
    </row>
    <row r="32" spans="1:8" ht="12.75" customHeight="1">
      <c r="H32" s="66"/>
    </row>
    <row r="33" spans="8:8" ht="12.75" customHeight="1">
      <c r="H33" s="66"/>
    </row>
    <row r="34" spans="8:8" ht="12.75" customHeight="1">
      <c r="H34" s="66"/>
    </row>
    <row r="35" spans="8:8" ht="12.75" customHeight="1">
      <c r="H35" s="66"/>
    </row>
    <row r="36" spans="8:8" ht="12.75" customHeight="1">
      <c r="H36" s="66"/>
    </row>
    <row r="37" spans="8:8" ht="12.75" customHeight="1">
      <c r="H37" s="66"/>
    </row>
    <row r="38" spans="8:8" ht="12.75" customHeight="1">
      <c r="H38" s="66"/>
    </row>
    <row r="39" spans="8:8" ht="12.75" customHeight="1">
      <c r="H39" s="66"/>
    </row>
    <row r="40" spans="8:8" ht="12.75" customHeight="1">
      <c r="H40" s="66"/>
    </row>
    <row r="41" spans="8:8" ht="12.75" customHeight="1">
      <c r="H41" s="66"/>
    </row>
    <row r="42" spans="8:8" ht="12.75" customHeight="1">
      <c r="H42" s="66"/>
    </row>
    <row r="43" spans="8:8" ht="12.75" customHeight="1">
      <c r="H43" s="66"/>
    </row>
    <row r="44" spans="8:8" ht="12.75" customHeight="1">
      <c r="H44" s="66"/>
    </row>
    <row r="45" spans="8:8" ht="12.75" customHeight="1">
      <c r="H45" s="66"/>
    </row>
    <row r="46" spans="8:8" ht="12.75" customHeight="1">
      <c r="H46" s="66"/>
    </row>
    <row r="47" spans="8:8" ht="12.75" customHeight="1">
      <c r="H47" s="66"/>
    </row>
    <row r="48" spans="8:8" ht="12.75" customHeight="1">
      <c r="H48" s="66"/>
    </row>
    <row r="49" spans="8:8" ht="12.75" customHeight="1">
      <c r="H49" s="66"/>
    </row>
    <row r="50" spans="8:8" ht="12.75" customHeight="1">
      <c r="H50" s="66"/>
    </row>
    <row r="51" spans="8:8" ht="12.75" customHeight="1">
      <c r="H51" s="66"/>
    </row>
    <row r="52" spans="8:8" ht="12.75" customHeight="1">
      <c r="H52" s="66"/>
    </row>
    <row r="53" spans="8:8" ht="12.75" customHeight="1">
      <c r="H53" s="66"/>
    </row>
    <row r="54" spans="8:8" ht="12.75" customHeight="1">
      <c r="H54" s="66"/>
    </row>
    <row r="55" spans="8:8" ht="12.75" customHeight="1">
      <c r="H55" s="66"/>
    </row>
    <row r="56" spans="8:8" ht="12.75" customHeight="1">
      <c r="H56" s="66"/>
    </row>
    <row r="57" spans="8:8" ht="12.75" customHeight="1">
      <c r="H57" s="66"/>
    </row>
    <row r="58" spans="8:8" ht="12.75" customHeight="1">
      <c r="H58" s="66"/>
    </row>
    <row r="59" spans="8:8" ht="12.75" customHeight="1">
      <c r="H59" s="66"/>
    </row>
    <row r="60" spans="8:8" ht="12.75" customHeight="1">
      <c r="H60" s="66"/>
    </row>
    <row r="61" spans="8:8" ht="12.75" customHeight="1">
      <c r="H61" s="66"/>
    </row>
    <row r="62" spans="8:8" ht="12.75" customHeight="1">
      <c r="H62" s="66"/>
    </row>
    <row r="63" spans="8:8" ht="12.75" customHeight="1">
      <c r="H63" s="66"/>
    </row>
    <row r="64" spans="8:8" ht="12.75" customHeight="1">
      <c r="H64" s="66"/>
    </row>
    <row r="65" spans="8:8" ht="12.75" customHeight="1">
      <c r="H65" s="66"/>
    </row>
    <row r="66" spans="8:8" ht="12.75" customHeight="1">
      <c r="H66" s="66"/>
    </row>
    <row r="67" spans="8:8" ht="12.75" customHeight="1">
      <c r="H67" s="66"/>
    </row>
    <row r="68" spans="8:8" ht="12.75" customHeight="1">
      <c r="H68" s="66"/>
    </row>
    <row r="69" spans="8:8" ht="12.75" customHeight="1">
      <c r="H69" s="66"/>
    </row>
    <row r="70" spans="8:8" ht="12.75" customHeight="1">
      <c r="H70" s="66"/>
    </row>
    <row r="71" spans="8:8" ht="12.75" customHeight="1">
      <c r="H71" s="66"/>
    </row>
    <row r="72" spans="8:8" ht="12.75" customHeight="1">
      <c r="H72" s="66"/>
    </row>
    <row r="73" spans="8:8" ht="12.75" customHeight="1">
      <c r="H73" s="66"/>
    </row>
    <row r="74" spans="8:8" ht="12.75" customHeight="1">
      <c r="H74" s="66"/>
    </row>
    <row r="75" spans="8:8" ht="12.75" customHeight="1">
      <c r="H75" s="66"/>
    </row>
    <row r="76" spans="8:8" ht="12.75" customHeight="1">
      <c r="H76" s="66"/>
    </row>
    <row r="77" spans="8:8" ht="12.75" customHeight="1">
      <c r="H77" s="66"/>
    </row>
    <row r="78" spans="8:8" ht="12.75" customHeight="1">
      <c r="H78" s="66"/>
    </row>
    <row r="79" spans="8:8" ht="12.75" customHeight="1">
      <c r="H79" s="66"/>
    </row>
    <row r="80" spans="8:8" ht="12.75" customHeight="1">
      <c r="H80" s="66"/>
    </row>
    <row r="81" spans="8:8" ht="12.75" customHeight="1">
      <c r="H81" s="66"/>
    </row>
    <row r="82" spans="8:8" ht="12.75" customHeight="1">
      <c r="H82" s="66"/>
    </row>
    <row r="83" spans="8:8" ht="12.75" customHeight="1">
      <c r="H83" s="66"/>
    </row>
    <row r="84" spans="8:8" ht="12.75" customHeight="1">
      <c r="H84" s="66"/>
    </row>
    <row r="85" spans="8:8" ht="12.75" customHeight="1">
      <c r="H85" s="66"/>
    </row>
    <row r="86" spans="8:8" ht="12.75" customHeight="1">
      <c r="H86" s="66"/>
    </row>
    <row r="87" spans="8:8" ht="12.75" customHeight="1">
      <c r="H87" s="66"/>
    </row>
    <row r="88" spans="8:8" ht="12.75" customHeight="1">
      <c r="H88" s="66"/>
    </row>
    <row r="89" spans="8:8" ht="12.75" customHeight="1">
      <c r="H89" s="66"/>
    </row>
    <row r="90" spans="8:8" ht="12.75" customHeight="1">
      <c r="H90" s="66"/>
    </row>
    <row r="91" spans="8:8" ht="12.75" customHeight="1">
      <c r="H91" s="66"/>
    </row>
    <row r="92" spans="8:8" ht="12.75" customHeight="1">
      <c r="H92" s="66"/>
    </row>
    <row r="93" spans="8:8" ht="12.75" customHeight="1">
      <c r="H93" s="66"/>
    </row>
    <row r="94" spans="8:8" ht="12.75" customHeight="1">
      <c r="H94" s="66"/>
    </row>
    <row r="95" spans="8:8" ht="12.75" customHeight="1">
      <c r="H95" s="66"/>
    </row>
    <row r="96" spans="8:8" ht="12.75" customHeight="1">
      <c r="H96" s="66"/>
    </row>
    <row r="97" spans="8:8" ht="12.75" customHeight="1">
      <c r="H97" s="66"/>
    </row>
    <row r="98" spans="8:8" ht="12.75" customHeight="1">
      <c r="H98" s="66"/>
    </row>
    <row r="99" spans="8:8" ht="12.75" customHeight="1">
      <c r="H99" s="66"/>
    </row>
    <row r="100" spans="8:8" ht="12.75" customHeight="1">
      <c r="H100" s="66"/>
    </row>
    <row r="101" spans="8:8" ht="12.75" customHeight="1">
      <c r="H101" s="66"/>
    </row>
    <row r="102" spans="8:8" ht="12.75" customHeight="1">
      <c r="H102" s="66"/>
    </row>
    <row r="103" spans="8:8" ht="12.75" customHeight="1">
      <c r="H103" s="66"/>
    </row>
    <row r="104" spans="8:8" ht="12.75" customHeight="1">
      <c r="H104" s="66"/>
    </row>
    <row r="105" spans="8:8" ht="12.75" customHeight="1">
      <c r="H105" s="66"/>
    </row>
    <row r="106" spans="8:8" ht="12.75" customHeight="1">
      <c r="H106" s="66"/>
    </row>
    <row r="107" spans="8:8" ht="12.75" customHeight="1">
      <c r="H107" s="66"/>
    </row>
    <row r="108" spans="8:8" ht="12.75" customHeight="1">
      <c r="H108" s="66"/>
    </row>
    <row r="109" spans="8:8" ht="12.75" customHeight="1">
      <c r="H109" s="66"/>
    </row>
    <row r="110" spans="8:8" ht="12.75" customHeight="1">
      <c r="H110" s="66"/>
    </row>
    <row r="111" spans="8:8" ht="12.75" customHeight="1">
      <c r="H111" s="66"/>
    </row>
    <row r="112" spans="8:8" ht="12.75" customHeight="1">
      <c r="H112" s="66"/>
    </row>
    <row r="113" spans="8:8" ht="12.75" customHeight="1">
      <c r="H113" s="66"/>
    </row>
    <row r="114" spans="8:8" ht="12.75" customHeight="1">
      <c r="H114" s="66"/>
    </row>
    <row r="115" spans="8:8" ht="12.75" customHeight="1">
      <c r="H115" s="66"/>
    </row>
    <row r="116" spans="8:8" ht="12.75" customHeight="1">
      <c r="H116" s="66"/>
    </row>
    <row r="117" spans="8:8" ht="12.75" customHeight="1">
      <c r="H117" s="66"/>
    </row>
    <row r="118" spans="8:8" ht="12.75" customHeight="1">
      <c r="H118" s="66"/>
    </row>
    <row r="119" spans="8:8" ht="12.75" customHeight="1">
      <c r="H119" s="66"/>
    </row>
    <row r="120" spans="8:8" ht="12.75" customHeight="1">
      <c r="H120" s="66"/>
    </row>
    <row r="121" spans="8:8" ht="12.75" customHeight="1">
      <c r="H121" s="66"/>
    </row>
    <row r="122" spans="8:8" ht="12.75" customHeight="1">
      <c r="H122" s="66"/>
    </row>
    <row r="123" spans="8:8" ht="12.75" customHeight="1">
      <c r="H123" s="66"/>
    </row>
    <row r="124" spans="8:8" ht="12.75" customHeight="1">
      <c r="H124" s="66"/>
    </row>
    <row r="125" spans="8:8" ht="12.75" customHeight="1">
      <c r="H125" s="66"/>
    </row>
    <row r="126" spans="8:8" ht="12.75" customHeight="1">
      <c r="H126" s="66"/>
    </row>
    <row r="127" spans="8:8" ht="12.75" customHeight="1">
      <c r="H127" s="66"/>
    </row>
    <row r="128" spans="8:8" ht="12.75" customHeight="1">
      <c r="H128" s="66"/>
    </row>
    <row r="129" spans="8:8" ht="12.75" customHeight="1">
      <c r="H129" s="66"/>
    </row>
    <row r="130" spans="8:8" ht="12.75" customHeight="1">
      <c r="H130" s="66"/>
    </row>
    <row r="131" spans="8:8" ht="12.75" customHeight="1">
      <c r="H131" s="66"/>
    </row>
    <row r="132" spans="8:8" ht="12.75" customHeight="1">
      <c r="H132" s="66"/>
    </row>
    <row r="133" spans="8:8" ht="12.75" customHeight="1">
      <c r="H133" s="66"/>
    </row>
    <row r="134" spans="8:8" ht="12.75" customHeight="1">
      <c r="H134" s="66"/>
    </row>
    <row r="135" spans="8:8" ht="12.75" customHeight="1">
      <c r="H135" s="66"/>
    </row>
    <row r="136" spans="8:8" ht="12.75" customHeight="1">
      <c r="H136" s="66"/>
    </row>
    <row r="137" spans="8:8" ht="12.75" customHeight="1">
      <c r="H137" s="66"/>
    </row>
    <row r="138" spans="8:8" ht="12.75" customHeight="1">
      <c r="H138" s="66"/>
    </row>
    <row r="139" spans="8:8" ht="12.75" customHeight="1">
      <c r="H139" s="66"/>
    </row>
    <row r="140" spans="8:8" ht="12.75" customHeight="1">
      <c r="H140" s="66"/>
    </row>
    <row r="141" spans="8:8" ht="12.75" customHeight="1">
      <c r="H141" s="66"/>
    </row>
    <row r="142" spans="8:8" ht="12.75" customHeight="1">
      <c r="H142" s="66"/>
    </row>
    <row r="143" spans="8:8" ht="12.75" customHeight="1">
      <c r="H143" s="66"/>
    </row>
    <row r="144" spans="8:8" ht="12.75" customHeight="1">
      <c r="H144" s="66"/>
    </row>
    <row r="145" spans="8:8" ht="12.75" customHeight="1">
      <c r="H145" s="66"/>
    </row>
    <row r="146" spans="8:8" ht="12.75" customHeight="1">
      <c r="H146" s="66"/>
    </row>
    <row r="147" spans="8:8" ht="12.75" customHeight="1">
      <c r="H147" s="66"/>
    </row>
    <row r="148" spans="8:8" ht="12.75" customHeight="1">
      <c r="H148" s="66"/>
    </row>
    <row r="149" spans="8:8" ht="12.75" customHeight="1">
      <c r="H149" s="66"/>
    </row>
    <row r="150" spans="8:8" ht="12.75" customHeight="1">
      <c r="H150" s="66"/>
    </row>
    <row r="151" spans="8:8" ht="12.75" customHeight="1">
      <c r="H151" s="66"/>
    </row>
    <row r="152" spans="8:8" ht="12.75" customHeight="1">
      <c r="H152" s="66"/>
    </row>
    <row r="153" spans="8:8" ht="12.75" customHeight="1">
      <c r="H153" s="66"/>
    </row>
    <row r="154" spans="8:8" ht="12.75" customHeight="1">
      <c r="H154" s="66"/>
    </row>
    <row r="155" spans="8:8" ht="12.75" customHeight="1">
      <c r="H155" s="66"/>
    </row>
    <row r="156" spans="8:8" ht="12.75" customHeight="1">
      <c r="H156" s="66"/>
    </row>
    <row r="157" spans="8:8" ht="12.75" customHeight="1">
      <c r="H157" s="66"/>
    </row>
    <row r="158" spans="8:8" ht="12.75" customHeight="1">
      <c r="H158" s="66"/>
    </row>
    <row r="159" spans="8:8" ht="12.75" customHeight="1">
      <c r="H159" s="66"/>
    </row>
    <row r="160" spans="8:8" ht="12.75" customHeight="1">
      <c r="H160" s="66"/>
    </row>
    <row r="161" spans="8:8" ht="12.75" customHeight="1">
      <c r="H161" s="66"/>
    </row>
    <row r="162" spans="8:8" ht="12.75" customHeight="1">
      <c r="H162" s="66"/>
    </row>
    <row r="163" spans="8:8" ht="12.75" customHeight="1">
      <c r="H163" s="66"/>
    </row>
    <row r="164" spans="8:8" ht="12.75" customHeight="1">
      <c r="H164" s="66"/>
    </row>
    <row r="165" spans="8:8" ht="12.75" customHeight="1">
      <c r="H165" s="66"/>
    </row>
    <row r="166" spans="8:8" ht="12.75" customHeight="1">
      <c r="H166" s="66"/>
    </row>
    <row r="167" spans="8:8" ht="12.75" customHeight="1">
      <c r="H167" s="66"/>
    </row>
    <row r="168" spans="8:8" ht="12.75" customHeight="1">
      <c r="H168" s="66"/>
    </row>
    <row r="169" spans="8:8" ht="12.75" customHeight="1">
      <c r="H169" s="66"/>
    </row>
    <row r="170" spans="8:8" ht="12.75" customHeight="1">
      <c r="H170" s="66"/>
    </row>
    <row r="171" spans="8:8" ht="12.75" customHeight="1">
      <c r="H171" s="66"/>
    </row>
    <row r="172" spans="8:8" ht="12.75" customHeight="1">
      <c r="H172" s="66"/>
    </row>
    <row r="173" spans="8:8" ht="12.75" customHeight="1">
      <c r="H173" s="66"/>
    </row>
    <row r="174" spans="8:8" ht="12.75" customHeight="1">
      <c r="H174" s="66"/>
    </row>
    <row r="175" spans="8:8" ht="12.75" customHeight="1">
      <c r="H175" s="66"/>
    </row>
    <row r="176" spans="8:8" ht="12.75" customHeight="1">
      <c r="H176" s="66"/>
    </row>
    <row r="177" spans="8:8" ht="12.75" customHeight="1">
      <c r="H177" s="66"/>
    </row>
    <row r="178" spans="8:8" ht="12.75" customHeight="1">
      <c r="H178" s="66"/>
    </row>
    <row r="179" spans="8:8" ht="12.75" customHeight="1">
      <c r="H179" s="66"/>
    </row>
    <row r="180" spans="8:8" ht="12.75" customHeight="1">
      <c r="H180" s="66"/>
    </row>
    <row r="181" spans="8:8" ht="12.75" customHeight="1">
      <c r="H181" s="66"/>
    </row>
    <row r="182" spans="8:8" ht="12.75" customHeight="1">
      <c r="H182" s="66"/>
    </row>
    <row r="183" spans="8:8" ht="12.75" customHeight="1">
      <c r="H183" s="66"/>
    </row>
    <row r="184" spans="8:8" ht="12.75" customHeight="1">
      <c r="H184" s="66"/>
    </row>
    <row r="185" spans="8:8" ht="12.75" customHeight="1">
      <c r="H185" s="66"/>
    </row>
    <row r="186" spans="8:8" ht="12.75" customHeight="1">
      <c r="H186" s="66"/>
    </row>
    <row r="187" spans="8:8" ht="12.75" customHeight="1">
      <c r="H187" s="66"/>
    </row>
    <row r="188" spans="8:8" ht="12.75" customHeight="1">
      <c r="H188" s="66"/>
    </row>
    <row r="189" spans="8:8" ht="12.75" customHeight="1">
      <c r="H189" s="66"/>
    </row>
    <row r="190" spans="8:8" ht="12.75" customHeight="1">
      <c r="H190" s="66"/>
    </row>
    <row r="191" spans="8:8" ht="12.75" customHeight="1">
      <c r="H191" s="66"/>
    </row>
    <row r="192" spans="8:8" ht="12.75" customHeight="1">
      <c r="H192" s="66"/>
    </row>
    <row r="193" spans="8:8" ht="12.75" customHeight="1">
      <c r="H193" s="66"/>
    </row>
    <row r="194" spans="8:8" ht="12.75" customHeight="1">
      <c r="H194" s="66"/>
    </row>
    <row r="195" spans="8:8" ht="12.75" customHeight="1">
      <c r="H195" s="66"/>
    </row>
    <row r="196" spans="8:8" ht="12.75" customHeight="1">
      <c r="H196" s="66"/>
    </row>
    <row r="197" spans="8:8" ht="12.75" customHeight="1">
      <c r="H197" s="66"/>
    </row>
    <row r="198" spans="8:8" ht="12.75" customHeight="1">
      <c r="H198" s="66"/>
    </row>
    <row r="199" spans="8:8" ht="12.75" customHeight="1">
      <c r="H199" s="66"/>
    </row>
    <row r="200" spans="8:8" ht="12.75" customHeight="1">
      <c r="H200" s="66"/>
    </row>
    <row r="201" spans="8:8" ht="12.75" customHeight="1">
      <c r="H201" s="66"/>
    </row>
    <row r="202" spans="8:8" ht="12.75" customHeight="1">
      <c r="H202" s="66"/>
    </row>
    <row r="203" spans="8:8" ht="12.75" customHeight="1">
      <c r="H203" s="66"/>
    </row>
    <row r="204" spans="8:8" ht="12.75" customHeight="1">
      <c r="H204" s="66"/>
    </row>
    <row r="205" spans="8:8" ht="12.75" customHeight="1">
      <c r="H205" s="66"/>
    </row>
    <row r="206" spans="8:8" ht="12.75" customHeight="1">
      <c r="H206" s="66"/>
    </row>
    <row r="207" spans="8:8" ht="12.75" customHeight="1">
      <c r="H207" s="66"/>
    </row>
    <row r="208" spans="8:8" ht="12.75" customHeight="1">
      <c r="H208" s="66"/>
    </row>
    <row r="209" spans="8:8" ht="12.75" customHeight="1">
      <c r="H209" s="66"/>
    </row>
    <row r="210" spans="8:8" ht="12.75" customHeight="1">
      <c r="H210" s="66"/>
    </row>
    <row r="211" spans="8:8" ht="12.75" customHeight="1">
      <c r="H211" s="66"/>
    </row>
    <row r="212" spans="8:8" ht="12.75" customHeight="1">
      <c r="H212" s="66"/>
    </row>
    <row r="213" spans="8:8" ht="12.75" customHeight="1">
      <c r="H213" s="66"/>
    </row>
    <row r="214" spans="8:8" ht="12.75" customHeight="1">
      <c r="H214" s="66"/>
    </row>
    <row r="215" spans="8:8" ht="12.75" customHeight="1">
      <c r="H215" s="66"/>
    </row>
    <row r="216" spans="8:8" ht="12.75" customHeight="1">
      <c r="H216" s="66"/>
    </row>
    <row r="217" spans="8:8" ht="12.75" customHeight="1">
      <c r="H217" s="66"/>
    </row>
    <row r="218" spans="8:8" ht="12.75" customHeight="1">
      <c r="H218" s="66"/>
    </row>
    <row r="219" spans="8:8" ht="12.75" customHeight="1">
      <c r="H219" s="66"/>
    </row>
    <row r="220" spans="8:8" ht="12.75" customHeight="1">
      <c r="H220" s="66"/>
    </row>
    <row r="221" spans="8:8" ht="15.75" customHeight="1">
      <c r="H221" s="66"/>
    </row>
    <row r="222" spans="8:8" ht="15.75" customHeight="1">
      <c r="H222" s="66"/>
    </row>
    <row r="223" spans="8:8" ht="15.75" customHeight="1">
      <c r="H223" s="66"/>
    </row>
    <row r="224" spans="8: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O2:O4"/>
    <mergeCell ref="P2:P4"/>
    <mergeCell ref="A1:J1"/>
    <mergeCell ref="A2:A3"/>
    <mergeCell ref="B2:N3"/>
  </mergeCells>
  <pageMargins left="0.70000000000000007" right="0.70000000000000007" top="0.75000000000000011" bottom="0.75000000000000011" header="0" footer="0"/>
  <pageSetup paperSize="9"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1000"/>
  <sheetViews>
    <sheetView showGridLines="0" tabSelected="1" topLeftCell="A12" workbookViewId="0">
      <selection activeCell="F7" sqref="F7"/>
    </sheetView>
  </sheetViews>
  <sheetFormatPr defaultColWidth="14.42578125" defaultRowHeight="15" customHeight="1"/>
  <cols>
    <col min="1" max="1" width="8.42578125" customWidth="1"/>
    <col min="2" max="2" width="18.140625" customWidth="1"/>
    <col min="3" max="3" width="28.7109375" customWidth="1"/>
    <col min="4" max="4" width="50.85546875" customWidth="1"/>
    <col min="5" max="5" width="12.28515625" customWidth="1"/>
    <col min="6" max="13" width="10.42578125" customWidth="1"/>
    <col min="14" max="16" width="10.7109375" customWidth="1"/>
    <col min="17" max="17" width="13.28515625" customWidth="1"/>
    <col min="18" max="18" width="14.28515625" customWidth="1"/>
    <col min="19" max="19" width="28.85546875" customWidth="1"/>
  </cols>
  <sheetData>
    <row r="1" spans="1:19" ht="93" customHeight="1">
      <c r="A1" s="159" t="s">
        <v>46</v>
      </c>
      <c r="B1" s="160"/>
      <c r="C1" s="160"/>
      <c r="D1" s="160"/>
      <c r="E1" s="160"/>
      <c r="F1" s="160"/>
      <c r="G1" s="160"/>
      <c r="H1" s="160"/>
      <c r="I1" s="160"/>
      <c r="J1" s="160"/>
      <c r="K1" s="160"/>
      <c r="L1" s="160"/>
      <c r="M1" s="160"/>
      <c r="N1" s="160"/>
      <c r="O1" s="160"/>
      <c r="P1" s="160"/>
      <c r="Q1" s="160"/>
      <c r="R1" s="160"/>
      <c r="S1" s="161"/>
    </row>
    <row r="2" spans="1:19" ht="13.5" customHeight="1">
      <c r="A2" s="67" t="s">
        <v>47</v>
      </c>
      <c r="B2" s="110" t="s">
        <v>48</v>
      </c>
      <c r="C2" s="111"/>
      <c r="D2" s="67" t="s">
        <v>49</v>
      </c>
      <c r="E2" s="68">
        <f>'Estimación de Costos Básica HR '!B4</f>
        <v>46113</v>
      </c>
      <c r="F2" s="68">
        <f>'Estimación de Costos Básica HR '!C4</f>
        <v>46144</v>
      </c>
      <c r="G2" s="68">
        <f>'Estimación de Costos Básica HR '!D4</f>
        <v>46175</v>
      </c>
      <c r="H2" s="68">
        <f>'Estimación de Costos Básica HR '!E4</f>
        <v>46206</v>
      </c>
      <c r="I2" s="68">
        <f>'Estimación de Costos Básica HR '!F4</f>
        <v>46237</v>
      </c>
      <c r="J2" s="68">
        <f>'Estimación de Costos Básica HR '!G4</f>
        <v>46268</v>
      </c>
      <c r="K2" s="68">
        <f>'Estimación de Costos Básica HR '!H4</f>
        <v>46299</v>
      </c>
      <c r="L2" s="68">
        <f>'Estimación de Costos Básica HR '!I4</f>
        <v>46330</v>
      </c>
      <c r="M2" s="68">
        <f>'Estimación de Costos Básica HR '!J4</f>
        <v>46361</v>
      </c>
      <c r="N2" s="68">
        <f>'Estimación de Costos Básica HR '!K4</f>
        <v>46392</v>
      </c>
      <c r="O2" s="68">
        <f>'Estimación de Costos Básica HR '!L4</f>
        <v>46423</v>
      </c>
      <c r="P2" s="68">
        <f>'Estimación de Costos Básica HR '!M4</f>
        <v>46454</v>
      </c>
      <c r="Q2" s="68">
        <f>'Estimación de Costos Básica HR '!N4</f>
        <v>46485</v>
      </c>
      <c r="R2" s="67" t="s">
        <v>40</v>
      </c>
      <c r="S2" s="69" t="s">
        <v>41</v>
      </c>
    </row>
    <row r="3" spans="1:19" ht="13.5" customHeight="1">
      <c r="A3" s="112"/>
      <c r="B3" s="112" t="s">
        <v>50</v>
      </c>
      <c r="C3" s="115" t="s">
        <v>51</v>
      </c>
      <c r="D3" s="70" t="s">
        <v>52</v>
      </c>
      <c r="E3" s="71"/>
      <c r="F3" s="71"/>
      <c r="G3" s="71"/>
      <c r="H3" s="71"/>
      <c r="I3" s="71"/>
      <c r="J3" s="71"/>
      <c r="K3" s="71"/>
      <c r="L3" s="71"/>
      <c r="M3" s="71"/>
      <c r="N3" s="71"/>
      <c r="O3" s="71"/>
      <c r="P3" s="71"/>
      <c r="Q3" s="71"/>
      <c r="R3" s="71">
        <f>SUM(E3:Q3)</f>
        <v>0</v>
      </c>
      <c r="S3" s="72"/>
    </row>
    <row r="4" spans="1:19" ht="12.75" customHeight="1">
      <c r="A4" s="113"/>
      <c r="B4" s="113"/>
      <c r="C4" s="113"/>
      <c r="D4" s="70" t="s">
        <v>53</v>
      </c>
      <c r="E4" s="71"/>
      <c r="F4" s="71"/>
      <c r="G4" s="71"/>
      <c r="H4" s="71"/>
      <c r="I4" s="71"/>
      <c r="J4" s="71"/>
      <c r="K4" s="71"/>
      <c r="L4" s="71"/>
      <c r="M4" s="71"/>
      <c r="N4" s="71"/>
      <c r="O4" s="71"/>
      <c r="P4" s="71"/>
      <c r="Q4" s="71"/>
      <c r="R4" s="71">
        <f>SUM(E4:Q4)</f>
        <v>0</v>
      </c>
      <c r="S4" s="72"/>
    </row>
    <row r="5" spans="1:19" ht="12.75" customHeight="1">
      <c r="A5" s="113"/>
      <c r="B5" s="113"/>
      <c r="C5" s="113"/>
      <c r="D5" s="73" t="s">
        <v>54</v>
      </c>
      <c r="E5" s="71"/>
      <c r="F5" s="71">
        <v>12000</v>
      </c>
      <c r="G5" s="71">
        <v>12001</v>
      </c>
      <c r="H5" s="71">
        <v>12002</v>
      </c>
      <c r="I5" s="71">
        <v>12003</v>
      </c>
      <c r="J5" s="71">
        <v>12004</v>
      </c>
      <c r="K5" s="71">
        <v>12005</v>
      </c>
      <c r="L5" s="71">
        <v>12006</v>
      </c>
      <c r="M5" s="71">
        <v>12007</v>
      </c>
      <c r="N5" s="71">
        <v>12008</v>
      </c>
      <c r="O5" s="71">
        <v>12009</v>
      </c>
      <c r="P5" s="71">
        <v>12010</v>
      </c>
      <c r="Q5" s="71">
        <v>12011</v>
      </c>
      <c r="R5" s="71">
        <f>SUM(E5:Q5)</f>
        <v>144066</v>
      </c>
      <c r="S5" s="72"/>
    </row>
    <row r="6" spans="1:19" ht="12.75" customHeight="1">
      <c r="A6" s="113"/>
      <c r="B6" s="113"/>
      <c r="C6" s="113"/>
      <c r="D6" s="70" t="s">
        <v>55</v>
      </c>
      <c r="E6" s="71"/>
      <c r="F6" s="71"/>
      <c r="G6" s="71"/>
      <c r="H6" s="71"/>
      <c r="I6" s="71"/>
      <c r="J6" s="71"/>
      <c r="K6" s="71"/>
      <c r="L6" s="71"/>
      <c r="M6" s="71"/>
      <c r="N6" s="71"/>
      <c r="O6" s="71"/>
      <c r="P6" s="71"/>
      <c r="Q6" s="71"/>
      <c r="R6" s="71">
        <f>SUM(E6:Q6)</f>
        <v>0</v>
      </c>
      <c r="S6" s="72"/>
    </row>
    <row r="7" spans="1:19" ht="12.75" customHeight="1">
      <c r="A7" s="113"/>
      <c r="B7" s="113"/>
      <c r="C7" s="113"/>
      <c r="D7" s="70" t="s">
        <v>56</v>
      </c>
      <c r="E7" s="71"/>
      <c r="F7" s="71"/>
      <c r="G7" s="71"/>
      <c r="H7" s="71"/>
      <c r="I7" s="71"/>
      <c r="J7" s="71"/>
      <c r="K7" s="71"/>
      <c r="L7" s="71"/>
      <c r="M7" s="71"/>
      <c r="N7" s="71"/>
      <c r="O7" s="71"/>
      <c r="P7" s="71"/>
      <c r="Q7" s="71"/>
      <c r="R7" s="71">
        <f>SUM(E7:Q7)</f>
        <v>0</v>
      </c>
      <c r="S7" s="72"/>
    </row>
    <row r="8" spans="1:19" ht="12.75" customHeight="1">
      <c r="A8" s="113"/>
      <c r="B8" s="113"/>
      <c r="C8" s="113"/>
      <c r="D8" s="70" t="s">
        <v>57</v>
      </c>
      <c r="E8" s="71"/>
      <c r="F8" s="71"/>
      <c r="G8" s="71"/>
      <c r="H8" s="71"/>
      <c r="I8" s="71"/>
      <c r="J8" s="71"/>
      <c r="K8" s="71"/>
      <c r="L8" s="71"/>
      <c r="M8" s="71"/>
      <c r="N8" s="71"/>
      <c r="O8" s="71"/>
      <c r="P8" s="71"/>
      <c r="Q8" s="71"/>
      <c r="R8" s="71">
        <f>SUM(E8:Q8)</f>
        <v>0</v>
      </c>
      <c r="S8" s="72"/>
    </row>
    <row r="9" spans="1:19" ht="12.75" customHeight="1">
      <c r="A9" s="114"/>
      <c r="B9" s="114"/>
      <c r="C9" s="114"/>
      <c r="D9" s="70" t="s">
        <v>58</v>
      </c>
      <c r="E9" s="71"/>
      <c r="F9" s="71"/>
      <c r="G9" s="71"/>
      <c r="H9" s="71"/>
      <c r="I9" s="71"/>
      <c r="J9" s="71"/>
      <c r="K9" s="71"/>
      <c r="L9" s="71"/>
      <c r="M9" s="71"/>
      <c r="N9" s="71"/>
      <c r="O9" s="71"/>
      <c r="P9" s="71"/>
      <c r="Q9" s="71"/>
      <c r="R9" s="71">
        <f>SUM(E9:Q9)</f>
        <v>0</v>
      </c>
      <c r="S9" s="72"/>
    </row>
    <row r="10" spans="1:19" ht="12.75" customHeight="1">
      <c r="A10" s="74"/>
      <c r="B10" s="116" t="s">
        <v>59</v>
      </c>
      <c r="C10" s="117" t="s">
        <v>60</v>
      </c>
      <c r="D10" s="75" t="s">
        <v>61</v>
      </c>
      <c r="E10" s="76"/>
      <c r="F10" s="76"/>
      <c r="G10" s="76"/>
      <c r="H10" s="76"/>
      <c r="I10" s="76"/>
      <c r="J10" s="76"/>
      <c r="K10" s="76"/>
      <c r="L10" s="76"/>
      <c r="M10" s="76"/>
      <c r="N10" s="76"/>
      <c r="O10" s="76"/>
      <c r="P10" s="76"/>
      <c r="Q10" s="76"/>
      <c r="R10" s="76">
        <f>SUM(E10:Q10)</f>
        <v>0</v>
      </c>
      <c r="S10" s="77"/>
    </row>
    <row r="11" spans="1:19" ht="12.75" customHeight="1">
      <c r="A11" s="78"/>
      <c r="B11" s="113"/>
      <c r="C11" s="114"/>
      <c r="D11" s="75" t="s">
        <v>62</v>
      </c>
      <c r="E11" s="76"/>
      <c r="F11" s="76"/>
      <c r="G11" s="76"/>
      <c r="H11" s="76"/>
      <c r="I11" s="76"/>
      <c r="J11" s="76"/>
      <c r="K11" s="76"/>
      <c r="L11" s="76"/>
      <c r="M11" s="76"/>
      <c r="N11" s="76"/>
      <c r="O11" s="76"/>
      <c r="P11" s="76"/>
      <c r="Q11" s="76"/>
      <c r="R11" s="76">
        <f>SUM(E11:Q11)</f>
        <v>0</v>
      </c>
      <c r="S11" s="77"/>
    </row>
    <row r="12" spans="1:19" ht="12.75" customHeight="1">
      <c r="A12" s="78"/>
      <c r="B12" s="113"/>
      <c r="C12" s="117" t="s">
        <v>63</v>
      </c>
      <c r="D12" s="75" t="s">
        <v>64</v>
      </c>
      <c r="E12" s="76">
        <f t="shared" ref="E12:Q12" si="0">70*140</f>
        <v>9800</v>
      </c>
      <c r="F12" s="76">
        <f t="shared" si="0"/>
        <v>9800</v>
      </c>
      <c r="G12" s="76">
        <f t="shared" si="0"/>
        <v>9800</v>
      </c>
      <c r="H12" s="76">
        <f t="shared" si="0"/>
        <v>9800</v>
      </c>
      <c r="I12" s="76">
        <f t="shared" si="0"/>
        <v>9800</v>
      </c>
      <c r="J12" s="76">
        <f t="shared" si="0"/>
        <v>9800</v>
      </c>
      <c r="K12" s="76">
        <f t="shared" si="0"/>
        <v>9800</v>
      </c>
      <c r="L12" s="76">
        <f t="shared" si="0"/>
        <v>9800</v>
      </c>
      <c r="M12" s="76">
        <f t="shared" si="0"/>
        <v>9800</v>
      </c>
      <c r="N12" s="76">
        <f t="shared" si="0"/>
        <v>9800</v>
      </c>
      <c r="O12" s="76">
        <f t="shared" si="0"/>
        <v>9800</v>
      </c>
      <c r="P12" s="76">
        <f t="shared" si="0"/>
        <v>9800</v>
      </c>
      <c r="Q12" s="76">
        <f t="shared" si="0"/>
        <v>9800</v>
      </c>
      <c r="R12" s="76">
        <f>SUM(E12:Q12)</f>
        <v>127400</v>
      </c>
      <c r="S12" s="77"/>
    </row>
    <row r="13" spans="1:19" ht="12.75" customHeight="1">
      <c r="A13" s="78"/>
      <c r="B13" s="113"/>
      <c r="C13" s="113"/>
      <c r="D13" s="75" t="s">
        <v>65</v>
      </c>
      <c r="E13" s="76"/>
      <c r="F13" s="76"/>
      <c r="G13" s="76"/>
      <c r="H13" s="76"/>
      <c r="I13" s="76"/>
      <c r="J13" s="76"/>
      <c r="K13" s="76"/>
      <c r="L13" s="76"/>
      <c r="M13" s="76"/>
      <c r="N13" s="76"/>
      <c r="O13" s="76"/>
      <c r="P13" s="76"/>
      <c r="Q13" s="76"/>
      <c r="R13" s="76">
        <f>SUM(E13:Q13)</f>
        <v>0</v>
      </c>
      <c r="S13" s="77"/>
    </row>
    <row r="14" spans="1:19" ht="12.75" customHeight="1">
      <c r="A14" s="78"/>
      <c r="B14" s="113"/>
      <c r="C14" s="113"/>
      <c r="D14" s="75" t="s">
        <v>66</v>
      </c>
      <c r="E14" s="76"/>
      <c r="F14" s="76"/>
      <c r="G14" s="76"/>
      <c r="H14" s="76"/>
      <c r="I14" s="76"/>
      <c r="J14" s="76"/>
      <c r="K14" s="76"/>
      <c r="L14" s="76"/>
      <c r="M14" s="76"/>
      <c r="N14" s="76"/>
      <c r="O14" s="76"/>
      <c r="P14" s="76"/>
      <c r="Q14" s="76"/>
      <c r="R14" s="76">
        <f>SUM(E14:Q14)</f>
        <v>0</v>
      </c>
      <c r="S14" s="77"/>
    </row>
    <row r="15" spans="1:19" ht="12.75" customHeight="1">
      <c r="A15" s="78"/>
      <c r="B15" s="113"/>
      <c r="C15" s="113"/>
      <c r="D15" s="75" t="s">
        <v>67</v>
      </c>
      <c r="E15" s="76"/>
      <c r="F15" s="76"/>
      <c r="G15" s="76"/>
      <c r="H15" s="76"/>
      <c r="I15" s="76"/>
      <c r="J15" s="76"/>
      <c r="K15" s="76"/>
      <c r="L15" s="76"/>
      <c r="M15" s="76"/>
      <c r="N15" s="76"/>
      <c r="O15" s="76"/>
      <c r="P15" s="76"/>
      <c r="Q15" s="76"/>
      <c r="R15" s="76">
        <f>SUM(E15:Q15)</f>
        <v>0</v>
      </c>
      <c r="S15" s="77"/>
    </row>
    <row r="16" spans="1:19" ht="12.75" customHeight="1">
      <c r="A16" s="78"/>
      <c r="B16" s="113"/>
      <c r="C16" s="113"/>
      <c r="D16" s="75" t="s">
        <v>68</v>
      </c>
      <c r="E16" s="76"/>
      <c r="F16" s="76"/>
      <c r="G16" s="76"/>
      <c r="H16" s="76"/>
      <c r="I16" s="76"/>
      <c r="J16" s="76"/>
      <c r="K16" s="76"/>
      <c r="L16" s="76"/>
      <c r="M16" s="76"/>
      <c r="N16" s="76"/>
      <c r="O16" s="76"/>
      <c r="P16" s="76"/>
      <c r="Q16" s="76"/>
      <c r="R16" s="76">
        <f>SUM(E16:Q16)</f>
        <v>0</v>
      </c>
      <c r="S16" s="77"/>
    </row>
    <row r="17" spans="1:19" ht="12.75" customHeight="1">
      <c r="A17" s="78"/>
      <c r="B17" s="113"/>
      <c r="C17" s="113"/>
      <c r="D17" s="75" t="s">
        <v>69</v>
      </c>
      <c r="E17" s="76"/>
      <c r="F17" s="76"/>
      <c r="G17" s="76"/>
      <c r="H17" s="76"/>
      <c r="I17" s="76"/>
      <c r="J17" s="76"/>
      <c r="K17" s="76"/>
      <c r="L17" s="76"/>
      <c r="M17" s="76"/>
      <c r="N17" s="76"/>
      <c r="O17" s="76"/>
      <c r="P17" s="76"/>
      <c r="Q17" s="76"/>
      <c r="R17" s="76">
        <f>SUM(E17:Q17)</f>
        <v>0</v>
      </c>
      <c r="S17" s="77"/>
    </row>
    <row r="18" spans="1:19" ht="12.75" customHeight="1">
      <c r="A18" s="78"/>
      <c r="B18" s="113"/>
      <c r="C18" s="114"/>
      <c r="D18" s="75" t="s">
        <v>70</v>
      </c>
      <c r="E18" s="76"/>
      <c r="F18" s="76"/>
      <c r="G18" s="76"/>
      <c r="H18" s="76"/>
      <c r="I18" s="76"/>
      <c r="J18" s="76"/>
      <c r="K18" s="76"/>
      <c r="L18" s="76"/>
      <c r="M18" s="76"/>
      <c r="N18" s="76"/>
      <c r="O18" s="76"/>
      <c r="P18" s="76"/>
      <c r="Q18" s="76"/>
      <c r="R18" s="76">
        <f>SUM(E18:Q18)</f>
        <v>0</v>
      </c>
      <c r="S18" s="77"/>
    </row>
    <row r="19" spans="1:19" ht="12.75" customHeight="1">
      <c r="A19" s="123"/>
      <c r="B19" s="123" t="s">
        <v>71</v>
      </c>
      <c r="C19" s="120" t="s">
        <v>72</v>
      </c>
      <c r="D19" s="79" t="s">
        <v>73</v>
      </c>
      <c r="E19" s="80"/>
      <c r="F19" s="80"/>
      <c r="G19" s="80"/>
      <c r="H19" s="80"/>
      <c r="I19" s="80"/>
      <c r="J19" s="80"/>
      <c r="K19" s="80"/>
      <c r="L19" s="80"/>
      <c r="M19" s="80"/>
      <c r="N19" s="80"/>
      <c r="O19" s="80"/>
      <c r="P19" s="80"/>
      <c r="Q19" s="80"/>
      <c r="R19" s="80">
        <f>SUM(E19:Q19)</f>
        <v>0</v>
      </c>
      <c r="S19" s="81"/>
    </row>
    <row r="20" spans="1:19" ht="12.75" customHeight="1">
      <c r="A20" s="113"/>
      <c r="B20" s="113"/>
      <c r="C20" s="114"/>
      <c r="D20" s="79"/>
      <c r="E20" s="80"/>
      <c r="F20" s="80"/>
      <c r="G20" s="80"/>
      <c r="H20" s="80"/>
      <c r="I20" s="80"/>
      <c r="J20" s="80"/>
      <c r="K20" s="80"/>
      <c r="L20" s="80"/>
      <c r="M20" s="80"/>
      <c r="N20" s="80"/>
      <c r="O20" s="80"/>
      <c r="P20" s="80"/>
      <c r="Q20" s="80"/>
      <c r="R20" s="80">
        <f>SUM(E20:Q20)</f>
        <v>0</v>
      </c>
      <c r="S20" s="81"/>
    </row>
    <row r="21" spans="1:19" ht="12.75" customHeight="1">
      <c r="A21" s="113"/>
      <c r="B21" s="113"/>
      <c r="C21" s="120" t="s">
        <v>74</v>
      </c>
      <c r="D21" s="79" t="s">
        <v>75</v>
      </c>
      <c r="E21" s="80"/>
      <c r="F21" s="80"/>
      <c r="G21" s="80"/>
      <c r="H21" s="80"/>
      <c r="I21" s="80"/>
      <c r="J21" s="80"/>
      <c r="K21" s="80"/>
      <c r="L21" s="80"/>
      <c r="M21" s="80"/>
      <c r="N21" s="80"/>
      <c r="O21" s="80"/>
      <c r="P21" s="80"/>
      <c r="Q21" s="80"/>
      <c r="R21" s="80">
        <f>SUM(E21:Q21)</f>
        <v>0</v>
      </c>
      <c r="S21" s="81"/>
    </row>
    <row r="22" spans="1:19" ht="12.75" customHeight="1">
      <c r="A22" s="113"/>
      <c r="B22" s="113"/>
      <c r="C22" s="114"/>
      <c r="D22" s="79"/>
      <c r="E22" s="80"/>
      <c r="F22" s="80"/>
      <c r="G22" s="80"/>
      <c r="H22" s="80"/>
      <c r="I22" s="80"/>
      <c r="J22" s="80"/>
      <c r="K22" s="80"/>
      <c r="L22" s="80"/>
      <c r="M22" s="80"/>
      <c r="N22" s="80"/>
      <c r="O22" s="80"/>
      <c r="P22" s="80"/>
      <c r="Q22" s="80"/>
      <c r="R22" s="80">
        <f>SUM(E22:Q22)</f>
        <v>0</v>
      </c>
      <c r="S22" s="81"/>
    </row>
    <row r="23" spans="1:19" ht="12.75" customHeight="1">
      <c r="A23" s="113"/>
      <c r="B23" s="113"/>
      <c r="C23" s="120" t="s">
        <v>76</v>
      </c>
      <c r="D23" s="79"/>
      <c r="E23" s="80"/>
      <c r="F23" s="80"/>
      <c r="G23" s="80"/>
      <c r="H23" s="80"/>
      <c r="I23" s="80"/>
      <c r="J23" s="80"/>
      <c r="K23" s="80"/>
      <c r="L23" s="80"/>
      <c r="M23" s="80"/>
      <c r="N23" s="80"/>
      <c r="O23" s="80"/>
      <c r="P23" s="80"/>
      <c r="Q23" s="80"/>
      <c r="R23" s="80">
        <f>SUM(E23:Q23)</f>
        <v>0</v>
      </c>
      <c r="S23" s="81"/>
    </row>
    <row r="24" spans="1:19" ht="12.75" customHeight="1">
      <c r="A24" s="113"/>
      <c r="B24" s="113"/>
      <c r="C24" s="114"/>
      <c r="D24" s="79"/>
      <c r="E24" s="80"/>
      <c r="F24" s="80"/>
      <c r="G24" s="80"/>
      <c r="H24" s="80"/>
      <c r="I24" s="80"/>
      <c r="J24" s="80"/>
      <c r="K24" s="80"/>
      <c r="L24" s="80"/>
      <c r="M24" s="80"/>
      <c r="N24" s="80"/>
      <c r="O24" s="80"/>
      <c r="P24" s="80"/>
      <c r="Q24" s="80"/>
      <c r="R24" s="80">
        <f>SUM(E24:Q24)</f>
        <v>0</v>
      </c>
      <c r="S24" s="81"/>
    </row>
    <row r="25" spans="1:19" ht="12.75" customHeight="1">
      <c r="A25" s="113"/>
      <c r="B25" s="113"/>
      <c r="C25" s="120" t="s">
        <v>77</v>
      </c>
      <c r="D25" s="79" t="s">
        <v>78</v>
      </c>
      <c r="E25" s="80">
        <f t="shared" ref="E25:Q25" si="1">21*7*140</f>
        <v>20580</v>
      </c>
      <c r="F25" s="80">
        <f t="shared" si="1"/>
        <v>20580</v>
      </c>
      <c r="G25" s="80">
        <f t="shared" si="1"/>
        <v>20580</v>
      </c>
      <c r="H25" s="80">
        <f t="shared" si="1"/>
        <v>20580</v>
      </c>
      <c r="I25" s="80">
        <f t="shared" si="1"/>
        <v>20580</v>
      </c>
      <c r="J25" s="80">
        <f t="shared" si="1"/>
        <v>20580</v>
      </c>
      <c r="K25" s="80">
        <f t="shared" si="1"/>
        <v>20580</v>
      </c>
      <c r="L25" s="80">
        <f t="shared" si="1"/>
        <v>20580</v>
      </c>
      <c r="M25" s="80">
        <f t="shared" si="1"/>
        <v>20580</v>
      </c>
      <c r="N25" s="80">
        <f t="shared" si="1"/>
        <v>20580</v>
      </c>
      <c r="O25" s="80">
        <f t="shared" si="1"/>
        <v>20580</v>
      </c>
      <c r="P25" s="80">
        <f t="shared" si="1"/>
        <v>20580</v>
      </c>
      <c r="Q25" s="80">
        <f t="shared" si="1"/>
        <v>20580</v>
      </c>
      <c r="R25" s="80">
        <f>SUM(E25:Q25)</f>
        <v>267540</v>
      </c>
      <c r="S25" s="81"/>
    </row>
    <row r="26" spans="1:19" ht="12.75" customHeight="1">
      <c r="A26" s="113"/>
      <c r="B26" s="113"/>
      <c r="C26" s="114"/>
      <c r="D26" s="79"/>
      <c r="E26" s="80"/>
      <c r="F26" s="80"/>
      <c r="G26" s="80"/>
      <c r="H26" s="80"/>
      <c r="I26" s="80"/>
      <c r="J26" s="80"/>
      <c r="K26" s="80"/>
      <c r="L26" s="80"/>
      <c r="M26" s="80"/>
      <c r="N26" s="80"/>
      <c r="O26" s="80"/>
      <c r="P26" s="80"/>
      <c r="Q26" s="80"/>
      <c r="R26" s="80">
        <f>SUM(E26:Q26)</f>
        <v>0</v>
      </c>
      <c r="S26" s="81"/>
    </row>
    <row r="27" spans="1:19" ht="12.75" customHeight="1">
      <c r="A27" s="113"/>
      <c r="B27" s="113"/>
      <c r="C27" s="82" t="s">
        <v>79</v>
      </c>
      <c r="D27" s="79"/>
      <c r="E27" s="80"/>
      <c r="F27" s="80"/>
      <c r="G27" s="80"/>
      <c r="H27" s="80"/>
      <c r="I27" s="80"/>
      <c r="J27" s="80"/>
      <c r="K27" s="80"/>
      <c r="L27" s="80"/>
      <c r="M27" s="80"/>
      <c r="N27" s="80"/>
      <c r="O27" s="80"/>
      <c r="P27" s="80"/>
      <c r="Q27" s="80"/>
      <c r="R27" s="80">
        <f>SUM(E27:Q27)</f>
        <v>0</v>
      </c>
      <c r="S27" s="81"/>
    </row>
    <row r="28" spans="1:19" ht="13.5" customHeight="1">
      <c r="A28" s="114"/>
      <c r="B28" s="114"/>
      <c r="C28" s="82" t="s">
        <v>80</v>
      </c>
      <c r="D28" s="79"/>
      <c r="E28" s="80"/>
      <c r="F28" s="80"/>
      <c r="G28" s="80"/>
      <c r="H28" s="80"/>
      <c r="I28" s="80"/>
      <c r="J28" s="80"/>
      <c r="K28" s="80"/>
      <c r="L28" s="80"/>
      <c r="M28" s="80"/>
      <c r="N28" s="80"/>
      <c r="O28" s="80"/>
      <c r="P28" s="80"/>
      <c r="Q28" s="80"/>
      <c r="R28" s="80">
        <f>SUM(E28:Q28)</f>
        <v>0</v>
      </c>
      <c r="S28" s="81"/>
    </row>
    <row r="29" spans="1:19" ht="12.75" customHeight="1">
      <c r="A29" s="124"/>
      <c r="B29" s="124" t="s">
        <v>81</v>
      </c>
      <c r="C29" s="83" t="s">
        <v>82</v>
      </c>
      <c r="D29" s="84" t="s">
        <v>83</v>
      </c>
      <c r="E29" s="85"/>
      <c r="F29" s="85"/>
      <c r="G29" s="85"/>
      <c r="H29" s="85"/>
      <c r="I29" s="85"/>
      <c r="J29" s="85"/>
      <c r="K29" s="85"/>
      <c r="L29" s="85"/>
      <c r="M29" s="85"/>
      <c r="N29" s="85"/>
      <c r="O29" s="85"/>
      <c r="P29" s="85"/>
      <c r="Q29" s="85"/>
      <c r="R29" s="85">
        <f>SUM(E29:Q29)</f>
        <v>0</v>
      </c>
      <c r="S29" s="86"/>
    </row>
    <row r="30" spans="1:19" ht="12.75" customHeight="1">
      <c r="A30" s="113"/>
      <c r="B30" s="113"/>
      <c r="C30" s="83" t="s">
        <v>84</v>
      </c>
      <c r="D30" s="84" t="s">
        <v>85</v>
      </c>
      <c r="E30" s="85"/>
      <c r="F30" s="85"/>
      <c r="G30" s="85"/>
      <c r="H30" s="85"/>
      <c r="I30" s="85"/>
      <c r="J30" s="85"/>
      <c r="K30" s="85"/>
      <c r="L30" s="85"/>
      <c r="M30" s="85"/>
      <c r="N30" s="85"/>
      <c r="O30" s="85"/>
      <c r="P30" s="85"/>
      <c r="Q30" s="85"/>
      <c r="R30" s="85">
        <f>SUM(E30:Q30)</f>
        <v>0</v>
      </c>
      <c r="S30" s="86"/>
    </row>
    <row r="31" spans="1:19" ht="12.75" customHeight="1">
      <c r="A31" s="113"/>
      <c r="B31" s="113"/>
      <c r="C31" s="83" t="s">
        <v>86</v>
      </c>
      <c r="D31" s="84" t="s">
        <v>85</v>
      </c>
      <c r="E31" s="85"/>
      <c r="F31" s="85"/>
      <c r="G31" s="85"/>
      <c r="H31" s="85"/>
      <c r="I31" s="85"/>
      <c r="J31" s="85"/>
      <c r="K31" s="85"/>
      <c r="L31" s="85"/>
      <c r="M31" s="85"/>
      <c r="N31" s="85"/>
      <c r="O31" s="85"/>
      <c r="P31" s="85"/>
      <c r="Q31" s="85"/>
      <c r="R31" s="85">
        <f>SUM(E31:Q31)</f>
        <v>0</v>
      </c>
      <c r="S31" s="86"/>
    </row>
    <row r="32" spans="1:19" ht="12.75" customHeight="1">
      <c r="A32" s="113"/>
      <c r="B32" s="113"/>
      <c r="C32" s="83" t="s">
        <v>87</v>
      </c>
      <c r="D32" s="84" t="s">
        <v>85</v>
      </c>
      <c r="E32" s="85"/>
      <c r="F32" s="85"/>
      <c r="G32" s="85"/>
      <c r="H32" s="85"/>
      <c r="I32" s="85"/>
      <c r="J32" s="85"/>
      <c r="K32" s="85"/>
      <c r="L32" s="85"/>
      <c r="M32" s="85"/>
      <c r="N32" s="85"/>
      <c r="O32" s="85"/>
      <c r="P32" s="85"/>
      <c r="Q32" s="85"/>
      <c r="R32" s="85">
        <f>SUM(E32:Q32)</f>
        <v>0</v>
      </c>
      <c r="S32" s="86"/>
    </row>
    <row r="33" spans="1:19" ht="12.75" customHeight="1">
      <c r="A33" s="113"/>
      <c r="B33" s="113"/>
      <c r="C33" s="83" t="s">
        <v>88</v>
      </c>
      <c r="D33" s="84" t="s">
        <v>85</v>
      </c>
      <c r="E33" s="85"/>
      <c r="F33" s="85"/>
      <c r="G33" s="85"/>
      <c r="H33" s="85"/>
      <c r="I33" s="85"/>
      <c r="J33" s="85"/>
      <c r="K33" s="85"/>
      <c r="L33" s="85"/>
      <c r="M33" s="85"/>
      <c r="N33" s="85"/>
      <c r="O33" s="85"/>
      <c r="P33" s="85"/>
      <c r="Q33" s="85"/>
      <c r="R33" s="85">
        <f>SUM(E33:Q33)</f>
        <v>0</v>
      </c>
      <c r="S33" s="86"/>
    </row>
    <row r="34" spans="1:19" ht="12.75" customHeight="1">
      <c r="A34" s="114"/>
      <c r="B34" s="114"/>
      <c r="C34" s="83" t="s">
        <v>89</v>
      </c>
      <c r="D34" s="84" t="s">
        <v>85</v>
      </c>
      <c r="E34" s="85"/>
      <c r="F34" s="85"/>
      <c r="G34" s="85"/>
      <c r="H34" s="85"/>
      <c r="I34" s="85"/>
      <c r="J34" s="85"/>
      <c r="K34" s="85"/>
      <c r="L34" s="85"/>
      <c r="M34" s="85"/>
      <c r="N34" s="85"/>
      <c r="O34" s="85"/>
      <c r="P34" s="85"/>
      <c r="Q34" s="85"/>
      <c r="R34" s="85">
        <f>SUM(E34:Q34)</f>
        <v>0</v>
      </c>
      <c r="S34" s="86"/>
    </row>
    <row r="35" spans="1:19" ht="12.75" customHeight="1">
      <c r="A35" s="118"/>
      <c r="B35" s="118" t="s">
        <v>90</v>
      </c>
      <c r="C35" s="87" t="s">
        <v>91</v>
      </c>
      <c r="D35" s="88" t="s">
        <v>92</v>
      </c>
      <c r="E35" s="89"/>
      <c r="F35" s="89"/>
      <c r="G35" s="89"/>
      <c r="H35" s="89"/>
      <c r="I35" s="89"/>
      <c r="J35" s="89"/>
      <c r="K35" s="89"/>
      <c r="L35" s="89"/>
      <c r="M35" s="89"/>
      <c r="N35" s="89"/>
      <c r="O35" s="89"/>
      <c r="P35" s="89"/>
      <c r="Q35" s="89"/>
      <c r="R35" s="89">
        <f>SUM(E35:Q35)</f>
        <v>0</v>
      </c>
      <c r="S35" s="90"/>
    </row>
    <row r="36" spans="1:19" ht="12.75" customHeight="1">
      <c r="A36" s="113"/>
      <c r="B36" s="113"/>
      <c r="C36" s="87" t="s">
        <v>93</v>
      </c>
      <c r="D36" s="88" t="s">
        <v>94</v>
      </c>
      <c r="E36" s="89"/>
      <c r="F36" s="89"/>
      <c r="G36" s="89"/>
      <c r="H36" s="89"/>
      <c r="I36" s="89"/>
      <c r="J36" s="89"/>
      <c r="K36" s="89"/>
      <c r="L36" s="89"/>
      <c r="M36" s="89"/>
      <c r="N36" s="89"/>
      <c r="O36" s="89"/>
      <c r="P36" s="89"/>
      <c r="Q36" s="89"/>
      <c r="R36" s="89">
        <f>SUM(E36:Q36)</f>
        <v>0</v>
      </c>
      <c r="S36" s="90"/>
    </row>
    <row r="37" spans="1:19" ht="12.75" customHeight="1">
      <c r="A37" s="113"/>
      <c r="B37" s="113"/>
      <c r="C37" s="87" t="s">
        <v>95</v>
      </c>
      <c r="D37" s="88" t="s">
        <v>96</v>
      </c>
      <c r="E37" s="89"/>
      <c r="F37" s="89"/>
      <c r="G37" s="89"/>
      <c r="H37" s="89"/>
      <c r="I37" s="89"/>
      <c r="J37" s="89"/>
      <c r="K37" s="89"/>
      <c r="L37" s="89"/>
      <c r="M37" s="89"/>
      <c r="N37" s="89"/>
      <c r="O37" s="89"/>
      <c r="P37" s="89"/>
      <c r="Q37" s="89"/>
      <c r="R37" s="89">
        <f>SUM(E37:Q37)</f>
        <v>0</v>
      </c>
      <c r="S37" s="90"/>
    </row>
    <row r="38" spans="1:19" ht="12.75" customHeight="1">
      <c r="A38" s="113"/>
      <c r="B38" s="113"/>
      <c r="C38" s="121" t="s">
        <v>97</v>
      </c>
      <c r="D38" s="88" t="s">
        <v>98</v>
      </c>
      <c r="E38" s="89"/>
      <c r="F38" s="89"/>
      <c r="G38" s="89"/>
      <c r="H38" s="89"/>
      <c r="I38" s="89"/>
      <c r="J38" s="89"/>
      <c r="K38" s="89"/>
      <c r="L38" s="89"/>
      <c r="M38" s="89"/>
      <c r="N38" s="89"/>
      <c r="O38" s="89"/>
      <c r="P38" s="89"/>
      <c r="Q38" s="89"/>
      <c r="R38" s="89">
        <f>SUM(E38:Q38)</f>
        <v>0</v>
      </c>
      <c r="S38" s="90"/>
    </row>
    <row r="39" spans="1:19" ht="12.75" customHeight="1">
      <c r="A39" s="113"/>
      <c r="B39" s="113"/>
      <c r="C39" s="114"/>
      <c r="D39" s="88" t="s">
        <v>99</v>
      </c>
      <c r="E39" s="89"/>
      <c r="F39" s="89"/>
      <c r="G39" s="89"/>
      <c r="H39" s="89"/>
      <c r="I39" s="89"/>
      <c r="J39" s="89"/>
      <c r="K39" s="89"/>
      <c r="L39" s="89"/>
      <c r="M39" s="89"/>
      <c r="N39" s="89"/>
      <c r="O39" s="89"/>
      <c r="P39" s="89"/>
      <c r="Q39" s="89"/>
      <c r="R39" s="89">
        <f>SUM(E39:Q39)</f>
        <v>0</v>
      </c>
      <c r="S39" s="90"/>
    </row>
    <row r="40" spans="1:19" ht="12.75" customHeight="1">
      <c r="A40" s="113"/>
      <c r="B40" s="113"/>
      <c r="C40" s="87" t="s">
        <v>100</v>
      </c>
      <c r="D40" s="88" t="s">
        <v>101</v>
      </c>
      <c r="E40" s="89"/>
      <c r="F40" s="89"/>
      <c r="G40" s="89"/>
      <c r="H40" s="89"/>
      <c r="I40" s="89"/>
      <c r="J40" s="89"/>
      <c r="K40" s="89"/>
      <c r="L40" s="89"/>
      <c r="M40" s="89"/>
      <c r="N40" s="89"/>
      <c r="O40" s="89"/>
      <c r="P40" s="89"/>
      <c r="Q40" s="89"/>
      <c r="R40" s="89">
        <f>SUM(E40:Q40)</f>
        <v>0</v>
      </c>
      <c r="S40" s="90"/>
    </row>
    <row r="41" spans="1:19" ht="12.75" customHeight="1">
      <c r="A41" s="114"/>
      <c r="B41" s="114"/>
      <c r="C41" s="87" t="s">
        <v>102</v>
      </c>
      <c r="D41" s="88" t="s">
        <v>103</v>
      </c>
      <c r="E41" s="89"/>
      <c r="F41" s="89"/>
      <c r="G41" s="89"/>
      <c r="H41" s="89"/>
      <c r="I41" s="89"/>
      <c r="J41" s="89"/>
      <c r="K41" s="89"/>
      <c r="L41" s="89"/>
      <c r="M41" s="89"/>
      <c r="N41" s="89"/>
      <c r="O41" s="89"/>
      <c r="P41" s="89"/>
      <c r="Q41" s="89"/>
      <c r="R41" s="89">
        <f>SUM(E41:Q41)</f>
        <v>0</v>
      </c>
      <c r="S41" s="90"/>
    </row>
    <row r="42" spans="1:19" ht="15.75" customHeight="1">
      <c r="A42" s="91"/>
      <c r="B42" s="119" t="s">
        <v>104</v>
      </c>
      <c r="C42" s="122" t="s">
        <v>105</v>
      </c>
      <c r="D42" s="92"/>
      <c r="E42" s="56"/>
      <c r="F42" s="56"/>
      <c r="G42" s="56"/>
      <c r="H42" s="56"/>
      <c r="I42" s="56"/>
      <c r="J42" s="56"/>
      <c r="K42" s="56"/>
      <c r="L42" s="56"/>
      <c r="M42" s="56"/>
      <c r="N42" s="56"/>
      <c r="O42" s="56"/>
      <c r="P42" s="56"/>
      <c r="Q42" s="56"/>
      <c r="R42" s="56">
        <f>SUM(E42:Q42)</f>
        <v>0</v>
      </c>
      <c r="S42" s="93"/>
    </row>
    <row r="43" spans="1:19" ht="12.75" customHeight="1">
      <c r="A43" s="94"/>
      <c r="B43" s="113"/>
      <c r="C43" s="114"/>
      <c r="D43" s="92"/>
      <c r="E43" s="56"/>
      <c r="F43" s="56"/>
      <c r="G43" s="56"/>
      <c r="H43" s="56"/>
      <c r="I43" s="56"/>
      <c r="J43" s="56"/>
      <c r="K43" s="56"/>
      <c r="L43" s="56"/>
      <c r="M43" s="56"/>
      <c r="N43" s="56"/>
      <c r="O43" s="56"/>
      <c r="P43" s="56"/>
      <c r="Q43" s="56"/>
      <c r="R43" s="56">
        <f>SUM(E43:Q43)</f>
        <v>0</v>
      </c>
      <c r="S43" s="57"/>
    </row>
    <row r="44" spans="1:19" ht="12.75" customHeight="1">
      <c r="A44" s="94"/>
      <c r="B44" s="113"/>
      <c r="C44" s="122" t="s">
        <v>106</v>
      </c>
      <c r="D44" s="92"/>
      <c r="E44" s="56"/>
      <c r="F44" s="56"/>
      <c r="G44" s="56"/>
      <c r="H44" s="56"/>
      <c r="I44" s="56"/>
      <c r="J44" s="56"/>
      <c r="K44" s="56"/>
      <c r="L44" s="56"/>
      <c r="M44" s="56"/>
      <c r="N44" s="56"/>
      <c r="O44" s="56"/>
      <c r="P44" s="56"/>
      <c r="Q44" s="56"/>
      <c r="R44" s="56">
        <f>SUM(E44:Q44)</f>
        <v>0</v>
      </c>
      <c r="S44" s="57"/>
    </row>
    <row r="45" spans="1:19" ht="12.75" customHeight="1">
      <c r="A45" s="95"/>
      <c r="B45" s="114"/>
      <c r="C45" s="114"/>
      <c r="D45" s="92"/>
      <c r="E45" s="56"/>
      <c r="F45" s="56"/>
      <c r="G45" s="56"/>
      <c r="H45" s="56"/>
      <c r="I45" s="56"/>
      <c r="J45" s="56"/>
      <c r="K45" s="56"/>
      <c r="L45" s="56"/>
      <c r="M45" s="56"/>
      <c r="N45" s="56"/>
      <c r="O45" s="56"/>
      <c r="P45" s="56"/>
      <c r="Q45" s="56"/>
      <c r="R45" s="56">
        <f>SUM(E45:Q45)</f>
        <v>0</v>
      </c>
      <c r="S45" s="57"/>
    </row>
    <row r="46" spans="1:19" ht="22.5" customHeight="1">
      <c r="A46" s="107" t="s">
        <v>107</v>
      </c>
      <c r="B46" s="108"/>
      <c r="C46" s="108"/>
      <c r="D46" s="109"/>
      <c r="E46" s="96">
        <f t="shared" ref="E46:R46" si="2">SUM(E3:E45)</f>
        <v>30380</v>
      </c>
      <c r="F46" s="96">
        <f t="shared" si="2"/>
        <v>42380</v>
      </c>
      <c r="G46" s="96">
        <f t="shared" ref="G46:Q46" si="3">SUM(G3:G45)</f>
        <v>42381</v>
      </c>
      <c r="H46" s="96">
        <f t="shared" si="3"/>
        <v>42382</v>
      </c>
      <c r="I46" s="96">
        <f t="shared" si="3"/>
        <v>42383</v>
      </c>
      <c r="J46" s="96">
        <f t="shared" si="3"/>
        <v>42384</v>
      </c>
      <c r="K46" s="96">
        <f t="shared" si="3"/>
        <v>42385</v>
      </c>
      <c r="L46" s="96">
        <f t="shared" si="3"/>
        <v>42386</v>
      </c>
      <c r="M46" s="96">
        <f t="shared" si="3"/>
        <v>42387</v>
      </c>
      <c r="N46" s="96">
        <f t="shared" si="3"/>
        <v>42388</v>
      </c>
      <c r="O46" s="96">
        <f t="shared" si="3"/>
        <v>42389</v>
      </c>
      <c r="P46" s="96">
        <f t="shared" si="3"/>
        <v>42390</v>
      </c>
      <c r="Q46" s="96">
        <f t="shared" si="3"/>
        <v>42391</v>
      </c>
      <c r="R46" s="97">
        <f t="shared" si="2"/>
        <v>539006</v>
      </c>
      <c r="S46" s="98"/>
    </row>
    <row r="47" spans="1:19" ht="12.75" customHeight="1">
      <c r="B47" s="99"/>
      <c r="C47" s="99"/>
      <c r="D47" s="99"/>
      <c r="E47" s="66"/>
      <c r="F47" s="66"/>
      <c r="G47" s="66"/>
      <c r="H47" s="66"/>
      <c r="I47" s="66"/>
      <c r="J47" s="66"/>
      <c r="K47" s="66"/>
      <c r="L47" s="66"/>
      <c r="M47" s="66"/>
      <c r="N47" s="66"/>
      <c r="O47" s="66"/>
      <c r="P47" s="66"/>
      <c r="Q47" s="66"/>
      <c r="R47" s="99"/>
      <c r="S47" s="99"/>
    </row>
    <row r="48" spans="1:19" ht="12.75" customHeight="1">
      <c r="A48" s="99"/>
      <c r="B48" s="99"/>
      <c r="C48" s="99"/>
      <c r="D48" s="100" t="s">
        <v>108</v>
      </c>
      <c r="E48" s="101">
        <f t="shared" ref="E48:Q48" si="4">E46/E49</f>
        <v>273.32433648223122</v>
      </c>
      <c r="F48" s="101">
        <f t="shared" si="4"/>
        <v>379.06976744186045</v>
      </c>
      <c r="G48" s="101">
        <f t="shared" ref="G48:Q48" si="5">G46/G49</f>
        <v>379.07871198568876</v>
      </c>
      <c r="H48" s="101">
        <f t="shared" si="5"/>
        <v>379.08765652951701</v>
      </c>
      <c r="I48" s="101">
        <f t="shared" si="5"/>
        <v>379.09660107334525</v>
      </c>
      <c r="J48" s="101">
        <f t="shared" si="5"/>
        <v>379.10554561717356</v>
      </c>
      <c r="K48" s="101">
        <f t="shared" si="5"/>
        <v>379.11449016100181</v>
      </c>
      <c r="L48" s="101">
        <f t="shared" si="5"/>
        <v>379.12343470483006</v>
      </c>
      <c r="M48" s="101">
        <f t="shared" si="5"/>
        <v>379.13237924865831</v>
      </c>
      <c r="N48" s="101">
        <f t="shared" si="5"/>
        <v>379.14132379248662</v>
      </c>
      <c r="O48" s="101">
        <f t="shared" si="5"/>
        <v>379.15026833631487</v>
      </c>
      <c r="P48" s="101">
        <f t="shared" si="5"/>
        <v>379.15921288014312</v>
      </c>
      <c r="Q48" s="101">
        <f t="shared" si="5"/>
        <v>379.16815742397137</v>
      </c>
      <c r="R48" s="102">
        <f>SUM(E48:Q48)</f>
        <v>4822.7518856772222</v>
      </c>
      <c r="S48" s="99"/>
    </row>
    <row r="49" spans="1:19" ht="12.75" customHeight="1">
      <c r="A49" s="99"/>
      <c r="B49" s="99"/>
      <c r="C49" s="99"/>
      <c r="D49" s="103" t="s">
        <v>109</v>
      </c>
      <c r="E49" s="104">
        <f>85.5*1.3</f>
        <v>111.15</v>
      </c>
      <c r="F49" s="104">
        <f>86*1.3</f>
        <v>111.8</v>
      </c>
      <c r="G49" s="104">
        <f t="shared" ref="G49:Q49" si="6">86*1.3</f>
        <v>111.8</v>
      </c>
      <c r="H49" s="104">
        <f t="shared" si="6"/>
        <v>111.8</v>
      </c>
      <c r="I49" s="104">
        <f t="shared" si="6"/>
        <v>111.8</v>
      </c>
      <c r="J49" s="104">
        <f t="shared" si="6"/>
        <v>111.8</v>
      </c>
      <c r="K49" s="104">
        <f t="shared" si="6"/>
        <v>111.8</v>
      </c>
      <c r="L49" s="104">
        <f t="shared" si="6"/>
        <v>111.8</v>
      </c>
      <c r="M49" s="104">
        <f t="shared" si="6"/>
        <v>111.8</v>
      </c>
      <c r="N49" s="104">
        <f t="shared" si="6"/>
        <v>111.8</v>
      </c>
      <c r="O49" s="104">
        <f t="shared" si="6"/>
        <v>111.8</v>
      </c>
      <c r="P49" s="104">
        <f t="shared" si="6"/>
        <v>111.8</v>
      </c>
      <c r="Q49" s="104">
        <f t="shared" si="6"/>
        <v>111.8</v>
      </c>
      <c r="R49" s="99"/>
      <c r="S49" s="99"/>
    </row>
    <row r="50" spans="1:19" ht="12.75" customHeight="1">
      <c r="E50" s="66"/>
      <c r="F50" s="66"/>
      <c r="G50" s="66"/>
      <c r="H50" s="66"/>
      <c r="I50" s="66"/>
      <c r="J50" s="66"/>
      <c r="K50" s="66"/>
      <c r="L50" s="66"/>
      <c r="M50" s="66"/>
      <c r="N50" s="66"/>
      <c r="O50" s="66"/>
      <c r="P50" s="66"/>
      <c r="Q50" s="66"/>
    </row>
    <row r="51" spans="1:19" ht="12.75" customHeight="1">
      <c r="E51" s="66"/>
      <c r="F51" s="66"/>
      <c r="G51" s="66"/>
      <c r="H51" s="66"/>
      <c r="I51" s="66"/>
      <c r="J51" s="66"/>
      <c r="K51" s="66"/>
      <c r="L51" s="66"/>
      <c r="M51" s="66"/>
      <c r="N51" s="66"/>
      <c r="O51" s="66"/>
      <c r="P51" s="66"/>
      <c r="Q51" s="66"/>
    </row>
    <row r="52" spans="1:19" ht="12.75" customHeight="1">
      <c r="E52" s="66"/>
      <c r="F52" s="66"/>
      <c r="G52" s="66"/>
      <c r="H52" s="66"/>
      <c r="I52" s="66"/>
      <c r="J52" s="66"/>
      <c r="K52" s="66"/>
      <c r="L52" s="66"/>
      <c r="M52" s="66"/>
      <c r="N52" s="66"/>
      <c r="O52" s="66"/>
      <c r="P52" s="66"/>
      <c r="Q52" s="66"/>
    </row>
    <row r="53" spans="1:19" ht="12.75" customHeight="1">
      <c r="E53" s="66"/>
      <c r="F53" s="66"/>
      <c r="G53" s="66"/>
      <c r="H53" s="66"/>
      <c r="I53" s="66"/>
      <c r="J53" s="66"/>
      <c r="K53" s="66"/>
      <c r="L53" s="66"/>
      <c r="M53" s="66"/>
      <c r="N53" s="66"/>
      <c r="O53" s="66"/>
      <c r="P53" s="66"/>
      <c r="Q53" s="66"/>
    </row>
    <row r="54" spans="1:19" ht="12.75" customHeight="1">
      <c r="E54" s="66"/>
      <c r="F54" s="66"/>
      <c r="G54" s="66"/>
      <c r="H54" s="66"/>
      <c r="I54" s="66"/>
      <c r="J54" s="66"/>
      <c r="K54" s="66"/>
      <c r="L54" s="66"/>
      <c r="M54" s="66"/>
      <c r="N54" s="66"/>
      <c r="O54" s="66"/>
      <c r="P54" s="66"/>
      <c r="Q54" s="66"/>
    </row>
    <row r="55" spans="1:19" ht="12.75" customHeight="1">
      <c r="E55" s="66"/>
      <c r="F55" s="66"/>
      <c r="G55" s="66"/>
      <c r="H55" s="66"/>
      <c r="I55" s="66"/>
      <c r="J55" s="66"/>
      <c r="K55" s="66"/>
      <c r="L55" s="66"/>
      <c r="M55" s="66"/>
      <c r="N55" s="66"/>
      <c r="O55" s="66"/>
      <c r="P55" s="66"/>
      <c r="Q55" s="66"/>
    </row>
    <row r="56" spans="1:19" ht="12.75" customHeight="1">
      <c r="E56" s="66"/>
      <c r="F56" s="66"/>
      <c r="G56" s="66"/>
      <c r="H56" s="66"/>
      <c r="I56" s="66"/>
      <c r="J56" s="66"/>
      <c r="K56" s="66"/>
      <c r="L56" s="66"/>
      <c r="M56" s="66"/>
      <c r="N56" s="66"/>
      <c r="O56" s="66"/>
      <c r="P56" s="66"/>
      <c r="Q56" s="66"/>
    </row>
    <row r="57" spans="1:19" ht="12.75" customHeight="1">
      <c r="E57" s="66"/>
      <c r="F57" s="66"/>
      <c r="G57" s="66"/>
      <c r="H57" s="66"/>
      <c r="I57" s="66"/>
      <c r="J57" s="66"/>
      <c r="K57" s="66"/>
      <c r="L57" s="66"/>
      <c r="M57" s="66"/>
      <c r="N57" s="66"/>
      <c r="O57" s="66"/>
      <c r="P57" s="66"/>
      <c r="Q57" s="66"/>
    </row>
    <row r="58" spans="1:19" ht="12.75" customHeight="1">
      <c r="E58" s="66"/>
      <c r="F58" s="66"/>
      <c r="G58" s="66"/>
      <c r="H58" s="66"/>
      <c r="I58" s="66"/>
      <c r="J58" s="66"/>
      <c r="K58" s="66"/>
      <c r="L58" s="66"/>
      <c r="M58" s="66"/>
      <c r="N58" s="66"/>
      <c r="O58" s="66"/>
      <c r="P58" s="66"/>
      <c r="Q58" s="66"/>
    </row>
    <row r="59" spans="1:19" ht="12.75" customHeight="1">
      <c r="E59" s="66"/>
      <c r="F59" s="66"/>
      <c r="G59" s="66"/>
      <c r="H59" s="66"/>
      <c r="I59" s="66"/>
      <c r="J59" s="66"/>
      <c r="K59" s="66"/>
      <c r="L59" s="66"/>
      <c r="M59" s="66"/>
      <c r="N59" s="66"/>
      <c r="O59" s="66"/>
      <c r="P59" s="66"/>
      <c r="Q59" s="66"/>
    </row>
    <row r="60" spans="1:19" ht="12.75" customHeight="1">
      <c r="E60" s="66"/>
      <c r="F60" s="66"/>
      <c r="G60" s="66"/>
      <c r="H60" s="66"/>
      <c r="I60" s="66"/>
      <c r="J60" s="66"/>
      <c r="K60" s="66"/>
      <c r="L60" s="66"/>
      <c r="M60" s="66"/>
      <c r="N60" s="66"/>
      <c r="O60" s="66"/>
      <c r="P60" s="66"/>
      <c r="Q60" s="66"/>
    </row>
    <row r="61" spans="1:19" ht="12.75" customHeight="1">
      <c r="E61" s="66"/>
      <c r="F61" s="66"/>
      <c r="G61" s="66"/>
      <c r="H61" s="66"/>
      <c r="I61" s="66"/>
      <c r="J61" s="66"/>
      <c r="K61" s="66"/>
      <c r="L61" s="66"/>
      <c r="M61" s="66"/>
      <c r="N61" s="66"/>
      <c r="O61" s="66"/>
      <c r="P61" s="66"/>
      <c r="Q61" s="66"/>
    </row>
    <row r="62" spans="1:19" ht="12.75" customHeight="1">
      <c r="E62" s="66"/>
      <c r="F62" s="66"/>
      <c r="G62" s="66"/>
      <c r="H62" s="66"/>
      <c r="I62" s="66"/>
      <c r="J62" s="66"/>
      <c r="K62" s="66"/>
      <c r="L62" s="66"/>
      <c r="M62" s="66"/>
      <c r="N62" s="66"/>
      <c r="O62" s="66"/>
      <c r="P62" s="66"/>
      <c r="Q62" s="66"/>
    </row>
    <row r="63" spans="1:19" ht="12.75" customHeight="1">
      <c r="E63" s="66"/>
      <c r="F63" s="66"/>
      <c r="G63" s="66"/>
      <c r="H63" s="66"/>
      <c r="I63" s="66"/>
      <c r="J63" s="66"/>
      <c r="K63" s="66"/>
      <c r="L63" s="66"/>
      <c r="M63" s="66"/>
      <c r="N63" s="66"/>
      <c r="O63" s="66"/>
      <c r="P63" s="66"/>
      <c r="Q63" s="66"/>
    </row>
    <row r="64" spans="1:19" ht="12.75" customHeight="1">
      <c r="E64" s="66"/>
      <c r="F64" s="66"/>
      <c r="G64" s="66"/>
      <c r="H64" s="66"/>
      <c r="I64" s="66"/>
      <c r="J64" s="66"/>
      <c r="K64" s="66"/>
      <c r="L64" s="66"/>
      <c r="M64" s="66"/>
      <c r="N64" s="66"/>
      <c r="O64" s="66"/>
      <c r="P64" s="66"/>
      <c r="Q64" s="66"/>
    </row>
    <row r="65" spans="5:17" ht="12.75" customHeight="1">
      <c r="E65" s="66"/>
      <c r="F65" s="66"/>
      <c r="G65" s="66"/>
      <c r="H65" s="66"/>
      <c r="I65" s="66"/>
      <c r="J65" s="66"/>
      <c r="K65" s="66"/>
      <c r="L65" s="66"/>
      <c r="M65" s="66"/>
      <c r="N65" s="66"/>
      <c r="O65" s="66"/>
      <c r="P65" s="66"/>
      <c r="Q65" s="66"/>
    </row>
    <row r="66" spans="5:17" ht="12.75" customHeight="1">
      <c r="E66" s="66"/>
      <c r="F66" s="66"/>
      <c r="G66" s="66"/>
      <c r="H66" s="66"/>
      <c r="I66" s="66"/>
      <c r="J66" s="66"/>
      <c r="K66" s="66"/>
      <c r="L66" s="66"/>
      <c r="M66" s="66"/>
      <c r="N66" s="66"/>
      <c r="O66" s="66"/>
      <c r="P66" s="66"/>
      <c r="Q66" s="66"/>
    </row>
    <row r="67" spans="5:17" ht="12.75" customHeight="1">
      <c r="E67" s="66"/>
      <c r="F67" s="66"/>
      <c r="G67" s="66"/>
      <c r="H67" s="66"/>
      <c r="I67" s="66"/>
      <c r="J67" s="66"/>
      <c r="K67" s="66"/>
      <c r="L67" s="66"/>
      <c r="M67" s="66"/>
      <c r="N67" s="66"/>
      <c r="O67" s="66"/>
      <c r="P67" s="66"/>
      <c r="Q67" s="66"/>
    </row>
    <row r="68" spans="5:17" ht="12.75" customHeight="1">
      <c r="E68" s="66"/>
      <c r="F68" s="66"/>
      <c r="G68" s="66"/>
      <c r="H68" s="66"/>
      <c r="I68" s="66"/>
      <c r="J68" s="66"/>
      <c r="K68" s="66"/>
      <c r="L68" s="66"/>
      <c r="M68" s="66"/>
      <c r="N68" s="66"/>
      <c r="O68" s="66"/>
      <c r="P68" s="66"/>
      <c r="Q68" s="66"/>
    </row>
    <row r="69" spans="5:17" ht="12.75" customHeight="1">
      <c r="E69" s="66"/>
      <c r="F69" s="66"/>
      <c r="G69" s="66"/>
      <c r="H69" s="66"/>
      <c r="I69" s="66"/>
      <c r="J69" s="66"/>
      <c r="K69" s="66"/>
      <c r="L69" s="66"/>
      <c r="M69" s="66"/>
      <c r="N69" s="66"/>
      <c r="O69" s="66"/>
      <c r="P69" s="66"/>
      <c r="Q69" s="66"/>
    </row>
    <row r="70" spans="5:17" ht="12.75" customHeight="1">
      <c r="E70" s="66"/>
      <c r="F70" s="66"/>
      <c r="G70" s="66"/>
      <c r="H70" s="66"/>
      <c r="I70" s="66"/>
      <c r="J70" s="66"/>
      <c r="K70" s="66"/>
      <c r="L70" s="66"/>
      <c r="M70" s="66"/>
      <c r="N70" s="66"/>
      <c r="O70" s="66"/>
      <c r="P70" s="66"/>
      <c r="Q70" s="66"/>
    </row>
    <row r="71" spans="5:17" ht="12.75" customHeight="1">
      <c r="E71" s="66"/>
      <c r="F71" s="66"/>
      <c r="G71" s="66"/>
      <c r="H71" s="66"/>
      <c r="I71" s="66"/>
      <c r="J71" s="66"/>
      <c r="K71" s="66"/>
      <c r="L71" s="66"/>
      <c r="M71" s="66"/>
      <c r="N71" s="66"/>
      <c r="O71" s="66"/>
      <c r="P71" s="66"/>
      <c r="Q71" s="66"/>
    </row>
    <row r="72" spans="5:17" ht="12.75" customHeight="1">
      <c r="E72" s="66"/>
      <c r="F72" s="66"/>
      <c r="G72" s="66"/>
      <c r="H72" s="66"/>
      <c r="I72" s="66"/>
      <c r="J72" s="66"/>
      <c r="K72" s="66"/>
      <c r="L72" s="66"/>
      <c r="M72" s="66"/>
      <c r="N72" s="66"/>
      <c r="O72" s="66"/>
      <c r="P72" s="66"/>
      <c r="Q72" s="66"/>
    </row>
    <row r="73" spans="5:17" ht="12.75" customHeight="1">
      <c r="E73" s="66"/>
      <c r="F73" s="66"/>
      <c r="G73" s="66"/>
      <c r="H73" s="66"/>
      <c r="I73" s="66"/>
      <c r="J73" s="66"/>
      <c r="K73" s="66"/>
      <c r="L73" s="66"/>
      <c r="M73" s="66"/>
      <c r="N73" s="66"/>
      <c r="O73" s="66"/>
      <c r="P73" s="66"/>
      <c r="Q73" s="66"/>
    </row>
    <row r="74" spans="5:17" ht="12.75" customHeight="1">
      <c r="E74" s="66"/>
      <c r="F74" s="66"/>
      <c r="G74" s="66"/>
      <c r="H74" s="66"/>
      <c r="I74" s="66"/>
      <c r="J74" s="66"/>
      <c r="K74" s="66"/>
      <c r="L74" s="66"/>
      <c r="M74" s="66"/>
      <c r="N74" s="66"/>
      <c r="O74" s="66"/>
      <c r="P74" s="66"/>
      <c r="Q74" s="66"/>
    </row>
    <row r="75" spans="5:17" ht="12.75" customHeight="1">
      <c r="E75" s="66"/>
      <c r="F75" s="66"/>
      <c r="G75" s="66"/>
      <c r="H75" s="66"/>
      <c r="I75" s="66"/>
      <c r="J75" s="66"/>
      <c r="K75" s="66"/>
      <c r="L75" s="66"/>
      <c r="M75" s="66"/>
      <c r="N75" s="66"/>
      <c r="O75" s="66"/>
      <c r="P75" s="66"/>
      <c r="Q75" s="66"/>
    </row>
    <row r="76" spans="5:17" ht="12.75" customHeight="1">
      <c r="E76" s="66"/>
      <c r="F76" s="66"/>
      <c r="G76" s="66"/>
      <c r="H76" s="66"/>
      <c r="I76" s="66"/>
      <c r="J76" s="66"/>
      <c r="K76" s="66"/>
      <c r="L76" s="66"/>
      <c r="M76" s="66"/>
      <c r="N76" s="66"/>
      <c r="O76" s="66"/>
      <c r="P76" s="66"/>
      <c r="Q76" s="66"/>
    </row>
    <row r="77" spans="5:17" ht="12.75" customHeight="1">
      <c r="E77" s="66"/>
      <c r="F77" s="66"/>
      <c r="G77" s="66"/>
      <c r="H77" s="66"/>
      <c r="I77" s="66"/>
      <c r="J77" s="66"/>
      <c r="K77" s="66"/>
      <c r="L77" s="66"/>
      <c r="M77" s="66"/>
      <c r="N77" s="66"/>
      <c r="O77" s="66"/>
      <c r="P77" s="66"/>
      <c r="Q77" s="66"/>
    </row>
    <row r="78" spans="5:17" ht="12.75" customHeight="1">
      <c r="E78" s="66"/>
      <c r="F78" s="66"/>
      <c r="G78" s="66"/>
      <c r="H78" s="66"/>
      <c r="I78" s="66"/>
      <c r="J78" s="66"/>
      <c r="K78" s="66"/>
      <c r="L78" s="66"/>
      <c r="M78" s="66"/>
      <c r="N78" s="66"/>
      <c r="O78" s="66"/>
      <c r="P78" s="66"/>
      <c r="Q78" s="66"/>
    </row>
    <row r="79" spans="5:17" ht="12.75" customHeight="1">
      <c r="E79" s="66"/>
      <c r="F79" s="66"/>
      <c r="G79" s="66"/>
      <c r="H79" s="66"/>
      <c r="I79" s="66"/>
      <c r="J79" s="66"/>
      <c r="K79" s="66"/>
      <c r="L79" s="66"/>
      <c r="M79" s="66"/>
      <c r="N79" s="66"/>
      <c r="O79" s="66"/>
      <c r="P79" s="66"/>
      <c r="Q79" s="66"/>
    </row>
    <row r="80" spans="5:17" ht="12.75" customHeight="1">
      <c r="E80" s="66"/>
      <c r="F80" s="66"/>
      <c r="G80" s="66"/>
      <c r="H80" s="66"/>
      <c r="I80" s="66"/>
      <c r="J80" s="66"/>
      <c r="K80" s="66"/>
      <c r="L80" s="66"/>
      <c r="M80" s="66"/>
      <c r="N80" s="66"/>
      <c r="O80" s="66"/>
      <c r="P80" s="66"/>
      <c r="Q80" s="66"/>
    </row>
    <row r="81" spans="5:17" ht="12.75" customHeight="1">
      <c r="E81" s="66"/>
      <c r="F81" s="66"/>
      <c r="G81" s="66"/>
      <c r="H81" s="66"/>
      <c r="I81" s="66"/>
      <c r="J81" s="66"/>
      <c r="K81" s="66"/>
      <c r="L81" s="66"/>
      <c r="M81" s="66"/>
      <c r="N81" s="66"/>
      <c r="O81" s="66"/>
      <c r="P81" s="66"/>
      <c r="Q81" s="66"/>
    </row>
    <row r="82" spans="5:17" ht="12.75" customHeight="1">
      <c r="E82" s="66"/>
      <c r="F82" s="66"/>
      <c r="G82" s="66"/>
      <c r="H82" s="66"/>
      <c r="I82" s="66"/>
      <c r="J82" s="66"/>
      <c r="K82" s="66"/>
      <c r="L82" s="66"/>
      <c r="M82" s="66"/>
      <c r="N82" s="66"/>
      <c r="O82" s="66"/>
      <c r="P82" s="66"/>
      <c r="Q82" s="66"/>
    </row>
    <row r="83" spans="5:17" ht="12.75" customHeight="1">
      <c r="E83" s="66"/>
      <c r="F83" s="66"/>
      <c r="G83" s="66"/>
      <c r="H83" s="66"/>
      <c r="I83" s="66"/>
      <c r="J83" s="66"/>
      <c r="K83" s="66"/>
      <c r="L83" s="66"/>
      <c r="M83" s="66"/>
      <c r="N83" s="66"/>
      <c r="O83" s="66"/>
      <c r="P83" s="66"/>
      <c r="Q83" s="66"/>
    </row>
    <row r="84" spans="5:17" ht="12.75" customHeight="1">
      <c r="E84" s="66"/>
      <c r="F84" s="66"/>
      <c r="G84" s="66"/>
      <c r="H84" s="66"/>
      <c r="I84" s="66"/>
      <c r="J84" s="66"/>
      <c r="K84" s="66"/>
      <c r="L84" s="66"/>
      <c r="M84" s="66"/>
      <c r="N84" s="66"/>
      <c r="O84" s="66"/>
      <c r="P84" s="66"/>
      <c r="Q84" s="66"/>
    </row>
    <row r="85" spans="5:17" ht="12.75" customHeight="1">
      <c r="E85" s="66"/>
      <c r="F85" s="66"/>
      <c r="G85" s="66"/>
      <c r="H85" s="66"/>
      <c r="I85" s="66"/>
      <c r="J85" s="66"/>
      <c r="K85" s="66"/>
      <c r="L85" s="66"/>
      <c r="M85" s="66"/>
      <c r="N85" s="66"/>
      <c r="O85" s="66"/>
      <c r="P85" s="66"/>
      <c r="Q85" s="66"/>
    </row>
    <row r="86" spans="5:17" ht="12.75" customHeight="1">
      <c r="E86" s="66"/>
      <c r="F86" s="66"/>
      <c r="G86" s="66"/>
      <c r="H86" s="66"/>
      <c r="I86" s="66"/>
      <c r="J86" s="66"/>
      <c r="K86" s="66"/>
      <c r="L86" s="66"/>
      <c r="M86" s="66"/>
      <c r="N86" s="66"/>
      <c r="O86" s="66"/>
      <c r="P86" s="66"/>
      <c r="Q86" s="66"/>
    </row>
    <row r="87" spans="5:17" ht="12.75" customHeight="1">
      <c r="E87" s="66"/>
      <c r="F87" s="66"/>
      <c r="G87" s="66"/>
      <c r="H87" s="66"/>
      <c r="I87" s="66"/>
      <c r="J87" s="66"/>
      <c r="K87" s="66"/>
      <c r="L87" s="66"/>
      <c r="M87" s="66"/>
      <c r="N87" s="66"/>
      <c r="O87" s="66"/>
      <c r="P87" s="66"/>
      <c r="Q87" s="66"/>
    </row>
    <row r="88" spans="5:17" ht="12.75" customHeight="1">
      <c r="E88" s="66"/>
      <c r="F88" s="66"/>
      <c r="G88" s="66"/>
      <c r="H88" s="66"/>
      <c r="I88" s="66"/>
      <c r="J88" s="66"/>
      <c r="K88" s="66"/>
      <c r="L88" s="66"/>
      <c r="M88" s="66"/>
      <c r="N88" s="66"/>
      <c r="O88" s="66"/>
      <c r="P88" s="66"/>
      <c r="Q88" s="66"/>
    </row>
    <row r="89" spans="5:17" ht="12.75" customHeight="1">
      <c r="E89" s="66"/>
      <c r="F89" s="66"/>
      <c r="G89" s="66"/>
      <c r="H89" s="66"/>
      <c r="I89" s="66"/>
      <c r="J89" s="66"/>
      <c r="K89" s="66"/>
      <c r="L89" s="66"/>
      <c r="M89" s="66"/>
      <c r="N89" s="66"/>
      <c r="O89" s="66"/>
      <c r="P89" s="66"/>
      <c r="Q89" s="66"/>
    </row>
    <row r="90" spans="5:17" ht="12.75" customHeight="1">
      <c r="E90" s="66"/>
      <c r="F90" s="66"/>
      <c r="G90" s="66"/>
      <c r="H90" s="66"/>
      <c r="I90" s="66"/>
      <c r="J90" s="66"/>
      <c r="K90" s="66"/>
      <c r="L90" s="66"/>
      <c r="M90" s="66"/>
      <c r="N90" s="66"/>
      <c r="O90" s="66"/>
      <c r="P90" s="66"/>
      <c r="Q90" s="66"/>
    </row>
    <row r="91" spans="5:17" ht="12.75" customHeight="1">
      <c r="E91" s="66"/>
      <c r="F91" s="66"/>
      <c r="G91" s="66"/>
      <c r="H91" s="66"/>
      <c r="I91" s="66"/>
      <c r="J91" s="66"/>
      <c r="K91" s="66"/>
      <c r="L91" s="66"/>
      <c r="M91" s="66"/>
      <c r="N91" s="66"/>
      <c r="O91" s="66"/>
      <c r="P91" s="66"/>
      <c r="Q91" s="66"/>
    </row>
    <row r="92" spans="5:17" ht="12.75" customHeight="1">
      <c r="E92" s="66"/>
      <c r="F92" s="66"/>
      <c r="G92" s="66"/>
      <c r="H92" s="66"/>
      <c r="I92" s="66"/>
      <c r="J92" s="66"/>
      <c r="K92" s="66"/>
      <c r="L92" s="66"/>
      <c r="M92" s="66"/>
      <c r="N92" s="66"/>
      <c r="O92" s="66"/>
      <c r="P92" s="66"/>
      <c r="Q92" s="66"/>
    </row>
    <row r="93" spans="5:17" ht="12.75" customHeight="1">
      <c r="E93" s="66"/>
      <c r="F93" s="66"/>
      <c r="G93" s="66"/>
      <c r="H93" s="66"/>
      <c r="I93" s="66"/>
      <c r="J93" s="66"/>
      <c r="K93" s="66"/>
      <c r="L93" s="66"/>
      <c r="M93" s="66"/>
      <c r="N93" s="66"/>
      <c r="O93" s="66"/>
      <c r="P93" s="66"/>
      <c r="Q93" s="66"/>
    </row>
    <row r="94" spans="5:17" ht="12.75" customHeight="1">
      <c r="E94" s="66"/>
      <c r="F94" s="66"/>
      <c r="G94" s="66"/>
      <c r="H94" s="66"/>
      <c r="I94" s="66"/>
      <c r="J94" s="66"/>
      <c r="K94" s="66"/>
      <c r="L94" s="66"/>
      <c r="M94" s="66"/>
      <c r="N94" s="66"/>
      <c r="O94" s="66"/>
      <c r="P94" s="66"/>
      <c r="Q94" s="66"/>
    </row>
    <row r="95" spans="5:17" ht="12.75" customHeight="1">
      <c r="E95" s="66"/>
      <c r="F95" s="66"/>
      <c r="G95" s="66"/>
      <c r="H95" s="66"/>
      <c r="I95" s="66"/>
      <c r="J95" s="66"/>
      <c r="K95" s="66"/>
      <c r="L95" s="66"/>
      <c r="M95" s="66"/>
      <c r="N95" s="66"/>
      <c r="O95" s="66"/>
      <c r="P95" s="66"/>
      <c r="Q95" s="66"/>
    </row>
    <row r="96" spans="5:17" ht="12.75" customHeight="1">
      <c r="E96" s="66"/>
      <c r="F96" s="66"/>
      <c r="G96" s="66"/>
      <c r="H96" s="66"/>
      <c r="I96" s="66"/>
      <c r="J96" s="66"/>
      <c r="K96" s="66"/>
      <c r="L96" s="66"/>
      <c r="M96" s="66"/>
      <c r="N96" s="66"/>
      <c r="O96" s="66"/>
      <c r="P96" s="66"/>
      <c r="Q96" s="66"/>
    </row>
    <row r="97" spans="5:17" ht="12.75" customHeight="1">
      <c r="E97" s="66"/>
      <c r="F97" s="66"/>
      <c r="G97" s="66"/>
      <c r="H97" s="66"/>
      <c r="I97" s="66"/>
      <c r="J97" s="66"/>
      <c r="K97" s="66"/>
      <c r="L97" s="66"/>
      <c r="M97" s="66"/>
      <c r="N97" s="66"/>
      <c r="O97" s="66"/>
      <c r="P97" s="66"/>
      <c r="Q97" s="66"/>
    </row>
    <row r="98" spans="5:17" ht="12.75" customHeight="1">
      <c r="E98" s="66"/>
      <c r="F98" s="66"/>
      <c r="G98" s="66"/>
      <c r="H98" s="66"/>
      <c r="I98" s="66"/>
      <c r="J98" s="66"/>
      <c r="K98" s="66"/>
      <c r="L98" s="66"/>
      <c r="M98" s="66"/>
      <c r="N98" s="66"/>
      <c r="O98" s="66"/>
      <c r="P98" s="66"/>
      <c r="Q98" s="66"/>
    </row>
    <row r="99" spans="5:17" ht="12.75" customHeight="1">
      <c r="E99" s="66"/>
      <c r="F99" s="66"/>
      <c r="G99" s="66"/>
      <c r="H99" s="66"/>
      <c r="I99" s="66"/>
      <c r="J99" s="66"/>
      <c r="K99" s="66"/>
      <c r="L99" s="66"/>
      <c r="M99" s="66"/>
      <c r="N99" s="66"/>
      <c r="O99" s="66"/>
      <c r="P99" s="66"/>
      <c r="Q99" s="66"/>
    </row>
    <row r="100" spans="5:17" ht="12.75" customHeight="1">
      <c r="E100" s="66"/>
      <c r="F100" s="66"/>
      <c r="G100" s="66"/>
      <c r="H100" s="66"/>
      <c r="I100" s="66"/>
      <c r="J100" s="66"/>
      <c r="K100" s="66"/>
      <c r="L100" s="66"/>
      <c r="M100" s="66"/>
      <c r="N100" s="66"/>
      <c r="O100" s="66"/>
      <c r="P100" s="66"/>
      <c r="Q100" s="66"/>
    </row>
    <row r="101" spans="5:17" ht="12.75" customHeight="1">
      <c r="E101" s="66"/>
      <c r="F101" s="66"/>
      <c r="G101" s="66"/>
      <c r="H101" s="66"/>
      <c r="I101" s="66"/>
      <c r="J101" s="66"/>
      <c r="K101" s="66"/>
      <c r="L101" s="66"/>
      <c r="M101" s="66"/>
      <c r="N101" s="66"/>
      <c r="O101" s="66"/>
      <c r="P101" s="66"/>
      <c r="Q101" s="66"/>
    </row>
    <row r="102" spans="5:17" ht="12.75" customHeight="1">
      <c r="E102" s="66"/>
      <c r="F102" s="66"/>
      <c r="G102" s="66"/>
      <c r="H102" s="66"/>
      <c r="I102" s="66"/>
      <c r="J102" s="66"/>
      <c r="K102" s="66"/>
      <c r="L102" s="66"/>
      <c r="M102" s="66"/>
      <c r="N102" s="66"/>
      <c r="O102" s="66"/>
      <c r="P102" s="66"/>
      <c r="Q102" s="66"/>
    </row>
    <row r="103" spans="5:17" ht="12.75" customHeight="1">
      <c r="E103" s="66"/>
      <c r="F103" s="66"/>
      <c r="G103" s="66"/>
      <c r="H103" s="66"/>
      <c r="I103" s="66"/>
      <c r="J103" s="66"/>
      <c r="K103" s="66"/>
      <c r="L103" s="66"/>
      <c r="M103" s="66"/>
      <c r="N103" s="66"/>
      <c r="O103" s="66"/>
      <c r="P103" s="66"/>
      <c r="Q103" s="66"/>
    </row>
    <row r="104" spans="5:17" ht="12.75" customHeight="1">
      <c r="E104" s="66"/>
      <c r="F104" s="66"/>
      <c r="G104" s="66"/>
      <c r="H104" s="66"/>
      <c r="I104" s="66"/>
      <c r="J104" s="66"/>
      <c r="K104" s="66"/>
      <c r="L104" s="66"/>
      <c r="M104" s="66"/>
      <c r="N104" s="66"/>
      <c r="O104" s="66"/>
      <c r="P104" s="66"/>
      <c r="Q104" s="66"/>
    </row>
    <row r="105" spans="5:17" ht="12.75" customHeight="1">
      <c r="E105" s="66"/>
      <c r="F105" s="66"/>
      <c r="G105" s="66"/>
      <c r="H105" s="66"/>
      <c r="I105" s="66"/>
      <c r="J105" s="66"/>
      <c r="K105" s="66"/>
      <c r="L105" s="66"/>
      <c r="M105" s="66"/>
      <c r="N105" s="66"/>
      <c r="O105" s="66"/>
      <c r="P105" s="66"/>
      <c r="Q105" s="66"/>
    </row>
    <row r="106" spans="5:17" ht="12.75" customHeight="1">
      <c r="E106" s="66"/>
      <c r="F106" s="66"/>
      <c r="G106" s="66"/>
      <c r="H106" s="66"/>
      <c r="I106" s="66"/>
      <c r="J106" s="66"/>
      <c r="K106" s="66"/>
      <c r="L106" s="66"/>
      <c r="M106" s="66"/>
      <c r="N106" s="66"/>
      <c r="O106" s="66"/>
      <c r="P106" s="66"/>
      <c r="Q106" s="66"/>
    </row>
    <row r="107" spans="5:17" ht="12.75" customHeight="1">
      <c r="E107" s="66"/>
      <c r="F107" s="66"/>
      <c r="G107" s="66"/>
      <c r="H107" s="66"/>
      <c r="I107" s="66"/>
      <c r="J107" s="66"/>
      <c r="K107" s="66"/>
      <c r="L107" s="66"/>
      <c r="M107" s="66"/>
      <c r="N107" s="66"/>
      <c r="O107" s="66"/>
      <c r="P107" s="66"/>
      <c r="Q107" s="66"/>
    </row>
    <row r="108" spans="5:17" ht="12.75" customHeight="1">
      <c r="E108" s="66"/>
      <c r="F108" s="66"/>
      <c r="G108" s="66"/>
      <c r="H108" s="66"/>
      <c r="I108" s="66"/>
      <c r="J108" s="66"/>
      <c r="K108" s="66"/>
      <c r="L108" s="66"/>
      <c r="M108" s="66"/>
      <c r="N108" s="66"/>
      <c r="O108" s="66"/>
      <c r="P108" s="66"/>
      <c r="Q108" s="66"/>
    </row>
    <row r="109" spans="5:17" ht="12.75" customHeight="1">
      <c r="E109" s="66"/>
      <c r="F109" s="66"/>
      <c r="G109" s="66"/>
      <c r="H109" s="66"/>
      <c r="I109" s="66"/>
      <c r="J109" s="66"/>
      <c r="K109" s="66"/>
      <c r="L109" s="66"/>
      <c r="M109" s="66"/>
      <c r="N109" s="66"/>
      <c r="O109" s="66"/>
      <c r="P109" s="66"/>
      <c r="Q109" s="66"/>
    </row>
    <row r="110" spans="5:17" ht="12.75" customHeight="1">
      <c r="E110" s="66"/>
      <c r="F110" s="66"/>
      <c r="G110" s="66"/>
      <c r="H110" s="66"/>
      <c r="I110" s="66"/>
      <c r="J110" s="66"/>
      <c r="K110" s="66"/>
      <c r="L110" s="66"/>
      <c r="M110" s="66"/>
      <c r="N110" s="66"/>
      <c r="O110" s="66"/>
      <c r="P110" s="66"/>
      <c r="Q110" s="66"/>
    </row>
    <row r="111" spans="5:17" ht="12.75" customHeight="1">
      <c r="E111" s="66"/>
      <c r="F111" s="66"/>
      <c r="G111" s="66"/>
      <c r="H111" s="66"/>
      <c r="I111" s="66"/>
      <c r="J111" s="66"/>
      <c r="K111" s="66"/>
      <c r="L111" s="66"/>
      <c r="M111" s="66"/>
      <c r="N111" s="66"/>
      <c r="O111" s="66"/>
      <c r="P111" s="66"/>
      <c r="Q111" s="66"/>
    </row>
    <row r="112" spans="5:17" ht="12.75" customHeight="1">
      <c r="E112" s="66"/>
      <c r="F112" s="66"/>
      <c r="G112" s="66"/>
      <c r="H112" s="66"/>
      <c r="I112" s="66"/>
      <c r="J112" s="66"/>
      <c r="K112" s="66"/>
      <c r="L112" s="66"/>
      <c r="M112" s="66"/>
      <c r="N112" s="66"/>
      <c r="O112" s="66"/>
      <c r="P112" s="66"/>
      <c r="Q112" s="66"/>
    </row>
    <row r="113" spans="5:17" ht="12.75" customHeight="1">
      <c r="E113" s="66"/>
      <c r="F113" s="66"/>
      <c r="G113" s="66"/>
      <c r="H113" s="66"/>
      <c r="I113" s="66"/>
      <c r="J113" s="66"/>
      <c r="K113" s="66"/>
      <c r="L113" s="66"/>
      <c r="M113" s="66"/>
      <c r="N113" s="66"/>
      <c r="O113" s="66"/>
      <c r="P113" s="66"/>
      <c r="Q113" s="66"/>
    </row>
    <row r="114" spans="5:17" ht="12.75" customHeight="1">
      <c r="E114" s="66"/>
      <c r="F114" s="66"/>
      <c r="G114" s="66"/>
      <c r="H114" s="66"/>
      <c r="I114" s="66"/>
      <c r="J114" s="66"/>
      <c r="K114" s="66"/>
      <c r="L114" s="66"/>
      <c r="M114" s="66"/>
      <c r="N114" s="66"/>
      <c r="O114" s="66"/>
      <c r="P114" s="66"/>
      <c r="Q114" s="66"/>
    </row>
    <row r="115" spans="5:17" ht="12.75" customHeight="1">
      <c r="E115" s="66"/>
      <c r="F115" s="66"/>
      <c r="G115" s="66"/>
      <c r="H115" s="66"/>
      <c r="I115" s="66"/>
      <c r="J115" s="66"/>
      <c r="K115" s="66"/>
      <c r="L115" s="66"/>
      <c r="M115" s="66"/>
      <c r="N115" s="66"/>
      <c r="O115" s="66"/>
      <c r="P115" s="66"/>
      <c r="Q115" s="66"/>
    </row>
    <row r="116" spans="5:17" ht="12.75" customHeight="1">
      <c r="E116" s="66"/>
      <c r="F116" s="66"/>
      <c r="G116" s="66"/>
      <c r="H116" s="66"/>
      <c r="I116" s="66"/>
      <c r="J116" s="66"/>
      <c r="K116" s="66"/>
      <c r="L116" s="66"/>
      <c r="M116" s="66"/>
      <c r="N116" s="66"/>
      <c r="O116" s="66"/>
      <c r="P116" s="66"/>
      <c r="Q116" s="66"/>
    </row>
    <row r="117" spans="5:17" ht="12.75" customHeight="1">
      <c r="E117" s="66"/>
      <c r="F117" s="66"/>
      <c r="G117" s="66"/>
      <c r="H117" s="66"/>
      <c r="I117" s="66"/>
      <c r="J117" s="66"/>
      <c r="K117" s="66"/>
      <c r="L117" s="66"/>
      <c r="M117" s="66"/>
      <c r="N117" s="66"/>
      <c r="O117" s="66"/>
      <c r="P117" s="66"/>
      <c r="Q117" s="66"/>
    </row>
    <row r="118" spans="5:17" ht="12.75" customHeight="1">
      <c r="E118" s="66"/>
      <c r="F118" s="66"/>
      <c r="G118" s="66"/>
      <c r="H118" s="66"/>
      <c r="I118" s="66"/>
      <c r="J118" s="66"/>
      <c r="K118" s="66"/>
      <c r="L118" s="66"/>
      <c r="M118" s="66"/>
      <c r="N118" s="66"/>
      <c r="O118" s="66"/>
      <c r="P118" s="66"/>
      <c r="Q118" s="66"/>
    </row>
    <row r="119" spans="5:17" ht="12.75" customHeight="1">
      <c r="E119" s="66"/>
      <c r="F119" s="66"/>
      <c r="G119" s="66"/>
      <c r="H119" s="66"/>
      <c r="I119" s="66"/>
      <c r="J119" s="66"/>
      <c r="K119" s="66"/>
      <c r="L119" s="66"/>
      <c r="M119" s="66"/>
      <c r="N119" s="66"/>
      <c r="O119" s="66"/>
      <c r="P119" s="66"/>
      <c r="Q119" s="66"/>
    </row>
    <row r="120" spans="5:17" ht="12.75" customHeight="1">
      <c r="E120" s="66"/>
      <c r="F120" s="66"/>
      <c r="G120" s="66"/>
      <c r="H120" s="66"/>
      <c r="I120" s="66"/>
      <c r="J120" s="66"/>
      <c r="K120" s="66"/>
      <c r="L120" s="66"/>
      <c r="M120" s="66"/>
      <c r="N120" s="66"/>
      <c r="O120" s="66"/>
      <c r="P120" s="66"/>
      <c r="Q120" s="66"/>
    </row>
    <row r="121" spans="5:17" ht="12.75" customHeight="1">
      <c r="E121" s="66"/>
      <c r="F121" s="66"/>
      <c r="G121" s="66"/>
      <c r="H121" s="66"/>
      <c r="I121" s="66"/>
      <c r="J121" s="66"/>
      <c r="K121" s="66"/>
      <c r="L121" s="66"/>
      <c r="M121" s="66"/>
      <c r="N121" s="66"/>
      <c r="O121" s="66"/>
      <c r="P121" s="66"/>
      <c r="Q121" s="66"/>
    </row>
    <row r="122" spans="5:17" ht="12.75" customHeight="1">
      <c r="E122" s="66"/>
      <c r="F122" s="66"/>
      <c r="G122" s="66"/>
      <c r="H122" s="66"/>
      <c r="I122" s="66"/>
      <c r="J122" s="66"/>
      <c r="K122" s="66"/>
      <c r="L122" s="66"/>
      <c r="M122" s="66"/>
      <c r="N122" s="66"/>
      <c r="O122" s="66"/>
      <c r="P122" s="66"/>
      <c r="Q122" s="66"/>
    </row>
    <row r="123" spans="5:17" ht="12.75" customHeight="1">
      <c r="E123" s="66"/>
      <c r="F123" s="66"/>
      <c r="G123" s="66"/>
      <c r="H123" s="66"/>
      <c r="I123" s="66"/>
      <c r="J123" s="66"/>
      <c r="K123" s="66"/>
      <c r="L123" s="66"/>
      <c r="M123" s="66"/>
      <c r="N123" s="66"/>
      <c r="O123" s="66"/>
      <c r="P123" s="66"/>
      <c r="Q123" s="66"/>
    </row>
    <row r="124" spans="5:17" ht="12.75" customHeight="1">
      <c r="E124" s="66"/>
      <c r="F124" s="66"/>
      <c r="G124" s="66"/>
      <c r="H124" s="66"/>
      <c r="I124" s="66"/>
      <c r="J124" s="66"/>
      <c r="K124" s="66"/>
      <c r="L124" s="66"/>
      <c r="M124" s="66"/>
      <c r="N124" s="66"/>
      <c r="O124" s="66"/>
      <c r="P124" s="66"/>
      <c r="Q124" s="66"/>
    </row>
    <row r="125" spans="5:17" ht="12.75" customHeight="1">
      <c r="E125" s="66"/>
      <c r="F125" s="66"/>
      <c r="G125" s="66"/>
      <c r="H125" s="66"/>
      <c r="I125" s="66"/>
      <c r="J125" s="66"/>
      <c r="K125" s="66"/>
      <c r="L125" s="66"/>
      <c r="M125" s="66"/>
      <c r="N125" s="66"/>
      <c r="O125" s="66"/>
      <c r="P125" s="66"/>
      <c r="Q125" s="66"/>
    </row>
    <row r="126" spans="5:17" ht="12.75" customHeight="1">
      <c r="E126" s="66"/>
      <c r="F126" s="66"/>
      <c r="G126" s="66"/>
      <c r="H126" s="66"/>
      <c r="I126" s="66"/>
      <c r="J126" s="66"/>
      <c r="K126" s="66"/>
      <c r="L126" s="66"/>
      <c r="M126" s="66"/>
      <c r="N126" s="66"/>
      <c r="O126" s="66"/>
      <c r="P126" s="66"/>
      <c r="Q126" s="66"/>
    </row>
    <row r="127" spans="5:17" ht="12.75" customHeight="1">
      <c r="E127" s="66"/>
      <c r="F127" s="66"/>
      <c r="G127" s="66"/>
      <c r="H127" s="66"/>
      <c r="I127" s="66"/>
      <c r="J127" s="66"/>
      <c r="K127" s="66"/>
      <c r="L127" s="66"/>
      <c r="M127" s="66"/>
      <c r="N127" s="66"/>
      <c r="O127" s="66"/>
      <c r="P127" s="66"/>
      <c r="Q127" s="66"/>
    </row>
    <row r="128" spans="5:17" ht="12.75" customHeight="1">
      <c r="E128" s="66"/>
      <c r="F128" s="66"/>
      <c r="G128" s="66"/>
      <c r="H128" s="66"/>
      <c r="I128" s="66"/>
      <c r="J128" s="66"/>
      <c r="K128" s="66"/>
      <c r="L128" s="66"/>
      <c r="M128" s="66"/>
      <c r="N128" s="66"/>
      <c r="O128" s="66"/>
      <c r="P128" s="66"/>
      <c r="Q128" s="66"/>
    </row>
    <row r="129" spans="5:17" ht="12.75" customHeight="1">
      <c r="E129" s="66"/>
      <c r="F129" s="66"/>
      <c r="G129" s="66"/>
      <c r="H129" s="66"/>
      <c r="I129" s="66"/>
      <c r="J129" s="66"/>
      <c r="K129" s="66"/>
      <c r="L129" s="66"/>
      <c r="M129" s="66"/>
      <c r="N129" s="66"/>
      <c r="O129" s="66"/>
      <c r="P129" s="66"/>
      <c r="Q129" s="66"/>
    </row>
    <row r="130" spans="5:17" ht="12.75" customHeight="1">
      <c r="E130" s="66"/>
      <c r="F130" s="66"/>
      <c r="G130" s="66"/>
      <c r="H130" s="66"/>
      <c r="I130" s="66"/>
      <c r="J130" s="66"/>
      <c r="K130" s="66"/>
      <c r="L130" s="66"/>
      <c r="M130" s="66"/>
      <c r="N130" s="66"/>
      <c r="O130" s="66"/>
      <c r="P130" s="66"/>
      <c r="Q130" s="66"/>
    </row>
    <row r="131" spans="5:17" ht="12.75" customHeight="1">
      <c r="E131" s="66"/>
      <c r="F131" s="66"/>
      <c r="G131" s="66"/>
      <c r="H131" s="66"/>
      <c r="I131" s="66"/>
      <c r="J131" s="66"/>
      <c r="K131" s="66"/>
      <c r="L131" s="66"/>
      <c r="M131" s="66"/>
      <c r="N131" s="66"/>
      <c r="O131" s="66"/>
      <c r="P131" s="66"/>
      <c r="Q131" s="66"/>
    </row>
    <row r="132" spans="5:17" ht="12.75" customHeight="1">
      <c r="E132" s="66"/>
      <c r="F132" s="66"/>
      <c r="G132" s="66"/>
      <c r="H132" s="66"/>
      <c r="I132" s="66"/>
      <c r="J132" s="66"/>
      <c r="K132" s="66"/>
      <c r="L132" s="66"/>
      <c r="M132" s="66"/>
      <c r="N132" s="66"/>
      <c r="O132" s="66"/>
      <c r="P132" s="66"/>
      <c r="Q132" s="66"/>
    </row>
    <row r="133" spans="5:17" ht="12.75" customHeight="1">
      <c r="E133" s="66"/>
      <c r="F133" s="66"/>
      <c r="G133" s="66"/>
      <c r="H133" s="66"/>
      <c r="I133" s="66"/>
      <c r="J133" s="66"/>
      <c r="K133" s="66"/>
      <c r="L133" s="66"/>
      <c r="M133" s="66"/>
      <c r="N133" s="66"/>
      <c r="O133" s="66"/>
      <c r="P133" s="66"/>
      <c r="Q133" s="66"/>
    </row>
    <row r="134" spans="5:17" ht="12.75" customHeight="1">
      <c r="E134" s="66"/>
      <c r="F134" s="66"/>
      <c r="G134" s="66"/>
      <c r="H134" s="66"/>
      <c r="I134" s="66"/>
      <c r="J134" s="66"/>
      <c r="K134" s="66"/>
      <c r="L134" s="66"/>
      <c r="M134" s="66"/>
      <c r="N134" s="66"/>
      <c r="O134" s="66"/>
      <c r="P134" s="66"/>
      <c r="Q134" s="66"/>
    </row>
    <row r="135" spans="5:17" ht="12.75" customHeight="1">
      <c r="E135" s="66"/>
      <c r="F135" s="66"/>
      <c r="G135" s="66"/>
      <c r="H135" s="66"/>
      <c r="I135" s="66"/>
      <c r="J135" s="66"/>
      <c r="K135" s="66"/>
      <c r="L135" s="66"/>
      <c r="M135" s="66"/>
      <c r="N135" s="66"/>
      <c r="O135" s="66"/>
      <c r="P135" s="66"/>
      <c r="Q135" s="66"/>
    </row>
    <row r="136" spans="5:17" ht="12.75" customHeight="1">
      <c r="E136" s="66"/>
      <c r="F136" s="66"/>
      <c r="G136" s="66"/>
      <c r="H136" s="66"/>
      <c r="I136" s="66"/>
      <c r="J136" s="66"/>
      <c r="K136" s="66"/>
      <c r="L136" s="66"/>
      <c r="M136" s="66"/>
      <c r="N136" s="66"/>
      <c r="O136" s="66"/>
      <c r="P136" s="66"/>
      <c r="Q136" s="66"/>
    </row>
    <row r="137" spans="5:17" ht="12.75" customHeight="1">
      <c r="E137" s="66"/>
      <c r="F137" s="66"/>
      <c r="G137" s="66"/>
      <c r="H137" s="66"/>
      <c r="I137" s="66"/>
      <c r="J137" s="66"/>
      <c r="K137" s="66"/>
      <c r="L137" s="66"/>
      <c r="M137" s="66"/>
      <c r="N137" s="66"/>
      <c r="O137" s="66"/>
      <c r="P137" s="66"/>
      <c r="Q137" s="66"/>
    </row>
    <row r="138" spans="5:17" ht="12.75" customHeight="1">
      <c r="E138" s="66"/>
      <c r="F138" s="66"/>
      <c r="G138" s="66"/>
      <c r="H138" s="66"/>
      <c r="I138" s="66"/>
      <c r="J138" s="66"/>
      <c r="K138" s="66"/>
      <c r="L138" s="66"/>
      <c r="M138" s="66"/>
      <c r="N138" s="66"/>
      <c r="O138" s="66"/>
      <c r="P138" s="66"/>
      <c r="Q138" s="66"/>
    </row>
    <row r="139" spans="5:17" ht="12.75" customHeight="1">
      <c r="E139" s="66"/>
      <c r="F139" s="66"/>
      <c r="G139" s="66"/>
      <c r="H139" s="66"/>
      <c r="I139" s="66"/>
      <c r="J139" s="66"/>
      <c r="K139" s="66"/>
      <c r="L139" s="66"/>
      <c r="M139" s="66"/>
      <c r="N139" s="66"/>
      <c r="O139" s="66"/>
      <c r="P139" s="66"/>
      <c r="Q139" s="66"/>
    </row>
    <row r="140" spans="5:17" ht="12.75" customHeight="1">
      <c r="E140" s="66"/>
      <c r="F140" s="66"/>
      <c r="G140" s="66"/>
      <c r="H140" s="66"/>
      <c r="I140" s="66"/>
      <c r="J140" s="66"/>
      <c r="K140" s="66"/>
      <c r="L140" s="66"/>
      <c r="M140" s="66"/>
      <c r="N140" s="66"/>
      <c r="O140" s="66"/>
      <c r="P140" s="66"/>
      <c r="Q140" s="66"/>
    </row>
    <row r="141" spans="5:17" ht="12.75" customHeight="1">
      <c r="E141" s="66"/>
      <c r="F141" s="66"/>
      <c r="G141" s="66"/>
      <c r="H141" s="66"/>
      <c r="I141" s="66"/>
      <c r="J141" s="66"/>
      <c r="K141" s="66"/>
      <c r="L141" s="66"/>
      <c r="M141" s="66"/>
      <c r="N141" s="66"/>
      <c r="O141" s="66"/>
      <c r="P141" s="66"/>
      <c r="Q141" s="66"/>
    </row>
    <row r="142" spans="5:17" ht="12.75" customHeight="1">
      <c r="E142" s="66"/>
      <c r="F142" s="66"/>
      <c r="G142" s="66"/>
      <c r="H142" s="66"/>
      <c r="I142" s="66"/>
      <c r="J142" s="66"/>
      <c r="K142" s="66"/>
      <c r="L142" s="66"/>
      <c r="M142" s="66"/>
      <c r="N142" s="66"/>
      <c r="O142" s="66"/>
      <c r="P142" s="66"/>
      <c r="Q142" s="66"/>
    </row>
    <row r="143" spans="5:17" ht="12.75" customHeight="1">
      <c r="E143" s="66"/>
      <c r="F143" s="66"/>
      <c r="G143" s="66"/>
      <c r="H143" s="66"/>
      <c r="I143" s="66"/>
      <c r="J143" s="66"/>
      <c r="K143" s="66"/>
      <c r="L143" s="66"/>
      <c r="M143" s="66"/>
      <c r="N143" s="66"/>
      <c r="O143" s="66"/>
      <c r="P143" s="66"/>
      <c r="Q143" s="66"/>
    </row>
    <row r="144" spans="5:17" ht="12.75" customHeight="1">
      <c r="E144" s="66"/>
      <c r="F144" s="66"/>
      <c r="G144" s="66"/>
      <c r="H144" s="66"/>
      <c r="I144" s="66"/>
      <c r="J144" s="66"/>
      <c r="K144" s="66"/>
      <c r="L144" s="66"/>
      <c r="M144" s="66"/>
      <c r="N144" s="66"/>
      <c r="O144" s="66"/>
      <c r="P144" s="66"/>
      <c r="Q144" s="66"/>
    </row>
    <row r="145" spans="5:17" ht="12.75" customHeight="1">
      <c r="E145" s="66"/>
      <c r="F145" s="66"/>
      <c r="G145" s="66"/>
      <c r="H145" s="66"/>
      <c r="I145" s="66"/>
      <c r="J145" s="66"/>
      <c r="K145" s="66"/>
      <c r="L145" s="66"/>
      <c r="M145" s="66"/>
      <c r="N145" s="66"/>
      <c r="O145" s="66"/>
      <c r="P145" s="66"/>
      <c r="Q145" s="66"/>
    </row>
    <row r="146" spans="5:17" ht="12.75" customHeight="1">
      <c r="E146" s="66"/>
      <c r="F146" s="66"/>
      <c r="G146" s="66"/>
      <c r="H146" s="66"/>
      <c r="I146" s="66"/>
      <c r="J146" s="66"/>
      <c r="K146" s="66"/>
      <c r="L146" s="66"/>
      <c r="M146" s="66"/>
      <c r="N146" s="66"/>
      <c r="O146" s="66"/>
      <c r="P146" s="66"/>
      <c r="Q146" s="66"/>
    </row>
    <row r="147" spans="5:17" ht="12.75" customHeight="1">
      <c r="E147" s="66"/>
      <c r="F147" s="66"/>
      <c r="G147" s="66"/>
      <c r="H147" s="66"/>
      <c r="I147" s="66"/>
      <c r="J147" s="66"/>
      <c r="K147" s="66"/>
      <c r="L147" s="66"/>
      <c r="M147" s="66"/>
      <c r="N147" s="66"/>
      <c r="O147" s="66"/>
      <c r="P147" s="66"/>
      <c r="Q147" s="66"/>
    </row>
    <row r="148" spans="5:17" ht="12.75" customHeight="1">
      <c r="E148" s="66"/>
      <c r="F148" s="66"/>
      <c r="G148" s="66"/>
      <c r="H148" s="66"/>
      <c r="I148" s="66"/>
      <c r="J148" s="66"/>
      <c r="K148" s="66"/>
      <c r="L148" s="66"/>
      <c r="M148" s="66"/>
      <c r="N148" s="66"/>
      <c r="O148" s="66"/>
      <c r="P148" s="66"/>
      <c r="Q148" s="66"/>
    </row>
    <row r="149" spans="5:17" ht="12.75" customHeight="1">
      <c r="E149" s="66"/>
      <c r="F149" s="66"/>
      <c r="G149" s="66"/>
      <c r="H149" s="66"/>
      <c r="I149" s="66"/>
      <c r="J149" s="66"/>
      <c r="K149" s="66"/>
      <c r="L149" s="66"/>
      <c r="M149" s="66"/>
      <c r="N149" s="66"/>
      <c r="O149" s="66"/>
      <c r="P149" s="66"/>
      <c r="Q149" s="66"/>
    </row>
    <row r="150" spans="5:17" ht="12.75" customHeight="1">
      <c r="E150" s="66"/>
      <c r="F150" s="66"/>
      <c r="G150" s="66"/>
      <c r="H150" s="66"/>
      <c r="I150" s="66"/>
      <c r="J150" s="66"/>
      <c r="K150" s="66"/>
      <c r="L150" s="66"/>
      <c r="M150" s="66"/>
      <c r="N150" s="66"/>
      <c r="O150" s="66"/>
      <c r="P150" s="66"/>
      <c r="Q150" s="66"/>
    </row>
    <row r="151" spans="5:17" ht="12.75" customHeight="1">
      <c r="E151" s="66"/>
      <c r="F151" s="66"/>
      <c r="G151" s="66"/>
      <c r="H151" s="66"/>
      <c r="I151" s="66"/>
      <c r="J151" s="66"/>
      <c r="K151" s="66"/>
      <c r="L151" s="66"/>
      <c r="M151" s="66"/>
      <c r="N151" s="66"/>
      <c r="O151" s="66"/>
      <c r="P151" s="66"/>
      <c r="Q151" s="66"/>
    </row>
    <row r="152" spans="5:17" ht="12.75" customHeight="1">
      <c r="E152" s="66"/>
      <c r="F152" s="66"/>
      <c r="G152" s="66"/>
      <c r="H152" s="66"/>
      <c r="I152" s="66"/>
      <c r="J152" s="66"/>
      <c r="K152" s="66"/>
      <c r="L152" s="66"/>
      <c r="M152" s="66"/>
      <c r="N152" s="66"/>
      <c r="O152" s="66"/>
      <c r="P152" s="66"/>
      <c r="Q152" s="66"/>
    </row>
    <row r="153" spans="5:17" ht="12.75" customHeight="1">
      <c r="E153" s="66"/>
      <c r="F153" s="66"/>
      <c r="G153" s="66"/>
      <c r="H153" s="66"/>
      <c r="I153" s="66"/>
      <c r="J153" s="66"/>
      <c r="K153" s="66"/>
      <c r="L153" s="66"/>
      <c r="M153" s="66"/>
      <c r="N153" s="66"/>
      <c r="O153" s="66"/>
      <c r="P153" s="66"/>
      <c r="Q153" s="66"/>
    </row>
    <row r="154" spans="5:17" ht="12.75" customHeight="1">
      <c r="E154" s="66"/>
      <c r="F154" s="66"/>
      <c r="G154" s="66"/>
      <c r="H154" s="66"/>
      <c r="I154" s="66"/>
      <c r="J154" s="66"/>
      <c r="K154" s="66"/>
      <c r="L154" s="66"/>
      <c r="M154" s="66"/>
      <c r="N154" s="66"/>
      <c r="O154" s="66"/>
      <c r="P154" s="66"/>
      <c r="Q154" s="66"/>
    </row>
    <row r="155" spans="5:17" ht="12.75" customHeight="1">
      <c r="E155" s="66"/>
      <c r="F155" s="66"/>
      <c r="G155" s="66"/>
      <c r="H155" s="66"/>
      <c r="I155" s="66"/>
      <c r="J155" s="66"/>
      <c r="K155" s="66"/>
      <c r="L155" s="66"/>
      <c r="M155" s="66"/>
      <c r="N155" s="66"/>
      <c r="O155" s="66"/>
      <c r="P155" s="66"/>
      <c r="Q155" s="66"/>
    </row>
    <row r="156" spans="5:17" ht="12.75" customHeight="1">
      <c r="E156" s="66"/>
      <c r="F156" s="66"/>
      <c r="G156" s="66"/>
      <c r="H156" s="66"/>
      <c r="I156" s="66"/>
      <c r="J156" s="66"/>
      <c r="K156" s="66"/>
      <c r="L156" s="66"/>
      <c r="M156" s="66"/>
      <c r="N156" s="66"/>
      <c r="O156" s="66"/>
      <c r="P156" s="66"/>
      <c r="Q156" s="66"/>
    </row>
    <row r="157" spans="5:17" ht="12.75" customHeight="1">
      <c r="E157" s="66"/>
      <c r="F157" s="66"/>
      <c r="G157" s="66"/>
      <c r="H157" s="66"/>
      <c r="I157" s="66"/>
      <c r="J157" s="66"/>
      <c r="K157" s="66"/>
      <c r="L157" s="66"/>
      <c r="M157" s="66"/>
      <c r="N157" s="66"/>
      <c r="O157" s="66"/>
      <c r="P157" s="66"/>
      <c r="Q157" s="66"/>
    </row>
    <row r="158" spans="5:17" ht="12.75" customHeight="1">
      <c r="E158" s="66"/>
      <c r="F158" s="66"/>
      <c r="G158" s="66"/>
      <c r="H158" s="66"/>
      <c r="I158" s="66"/>
      <c r="J158" s="66"/>
      <c r="K158" s="66"/>
      <c r="L158" s="66"/>
      <c r="M158" s="66"/>
      <c r="N158" s="66"/>
      <c r="O158" s="66"/>
      <c r="P158" s="66"/>
      <c r="Q158" s="66"/>
    </row>
    <row r="159" spans="5:17" ht="12.75" customHeight="1">
      <c r="E159" s="66"/>
      <c r="F159" s="66"/>
      <c r="G159" s="66"/>
      <c r="H159" s="66"/>
      <c r="I159" s="66"/>
      <c r="J159" s="66"/>
      <c r="K159" s="66"/>
      <c r="L159" s="66"/>
      <c r="M159" s="66"/>
      <c r="N159" s="66"/>
      <c r="O159" s="66"/>
      <c r="P159" s="66"/>
      <c r="Q159" s="66"/>
    </row>
    <row r="160" spans="5:17" ht="12.75" customHeight="1">
      <c r="E160" s="66"/>
      <c r="F160" s="66"/>
      <c r="G160" s="66"/>
      <c r="H160" s="66"/>
      <c r="I160" s="66"/>
      <c r="J160" s="66"/>
      <c r="K160" s="66"/>
      <c r="L160" s="66"/>
      <c r="M160" s="66"/>
      <c r="N160" s="66"/>
      <c r="O160" s="66"/>
      <c r="P160" s="66"/>
      <c r="Q160" s="66"/>
    </row>
    <row r="161" spans="5:17" ht="12.75" customHeight="1">
      <c r="E161" s="66"/>
      <c r="F161" s="66"/>
      <c r="G161" s="66"/>
      <c r="H161" s="66"/>
      <c r="I161" s="66"/>
      <c r="J161" s="66"/>
      <c r="K161" s="66"/>
      <c r="L161" s="66"/>
      <c r="M161" s="66"/>
      <c r="N161" s="66"/>
      <c r="O161" s="66"/>
      <c r="P161" s="66"/>
      <c r="Q161" s="66"/>
    </row>
    <row r="162" spans="5:17" ht="12.75" customHeight="1">
      <c r="E162" s="66"/>
      <c r="F162" s="66"/>
      <c r="G162" s="66"/>
      <c r="H162" s="66"/>
      <c r="I162" s="66"/>
      <c r="J162" s="66"/>
      <c r="K162" s="66"/>
      <c r="L162" s="66"/>
      <c r="M162" s="66"/>
      <c r="N162" s="66"/>
      <c r="O162" s="66"/>
      <c r="P162" s="66"/>
      <c r="Q162" s="66"/>
    </row>
    <row r="163" spans="5:17" ht="12.75" customHeight="1">
      <c r="E163" s="66"/>
      <c r="F163" s="66"/>
      <c r="G163" s="66"/>
      <c r="H163" s="66"/>
      <c r="I163" s="66"/>
      <c r="J163" s="66"/>
      <c r="K163" s="66"/>
      <c r="L163" s="66"/>
      <c r="M163" s="66"/>
      <c r="N163" s="66"/>
      <c r="O163" s="66"/>
      <c r="P163" s="66"/>
      <c r="Q163" s="66"/>
    </row>
    <row r="164" spans="5:17" ht="12.75" customHeight="1">
      <c r="E164" s="66"/>
      <c r="F164" s="66"/>
      <c r="G164" s="66"/>
      <c r="H164" s="66"/>
      <c r="I164" s="66"/>
      <c r="J164" s="66"/>
      <c r="K164" s="66"/>
      <c r="L164" s="66"/>
      <c r="M164" s="66"/>
      <c r="N164" s="66"/>
      <c r="O164" s="66"/>
      <c r="P164" s="66"/>
      <c r="Q164" s="66"/>
    </row>
    <row r="165" spans="5:17" ht="12.75" customHeight="1">
      <c r="E165" s="66"/>
      <c r="F165" s="66"/>
      <c r="G165" s="66"/>
      <c r="H165" s="66"/>
      <c r="I165" s="66"/>
      <c r="J165" s="66"/>
      <c r="K165" s="66"/>
      <c r="L165" s="66"/>
      <c r="M165" s="66"/>
      <c r="N165" s="66"/>
      <c r="O165" s="66"/>
      <c r="P165" s="66"/>
      <c r="Q165" s="66"/>
    </row>
    <row r="166" spans="5:17" ht="12.75" customHeight="1">
      <c r="E166" s="66"/>
      <c r="F166" s="66"/>
      <c r="G166" s="66"/>
      <c r="H166" s="66"/>
      <c r="I166" s="66"/>
      <c r="J166" s="66"/>
      <c r="K166" s="66"/>
      <c r="L166" s="66"/>
      <c r="M166" s="66"/>
      <c r="N166" s="66"/>
      <c r="O166" s="66"/>
      <c r="P166" s="66"/>
      <c r="Q166" s="66"/>
    </row>
    <row r="167" spans="5:17" ht="12.75" customHeight="1">
      <c r="E167" s="66"/>
      <c r="F167" s="66"/>
      <c r="G167" s="66"/>
      <c r="H167" s="66"/>
      <c r="I167" s="66"/>
      <c r="J167" s="66"/>
      <c r="K167" s="66"/>
      <c r="L167" s="66"/>
      <c r="M167" s="66"/>
      <c r="N167" s="66"/>
      <c r="O167" s="66"/>
      <c r="P167" s="66"/>
      <c r="Q167" s="66"/>
    </row>
    <row r="168" spans="5:17" ht="12.75" customHeight="1">
      <c r="E168" s="66"/>
      <c r="F168" s="66"/>
      <c r="G168" s="66"/>
      <c r="H168" s="66"/>
      <c r="I168" s="66"/>
      <c r="J168" s="66"/>
      <c r="K168" s="66"/>
      <c r="L168" s="66"/>
      <c r="M168" s="66"/>
      <c r="N168" s="66"/>
      <c r="O168" s="66"/>
      <c r="P168" s="66"/>
      <c r="Q168" s="66"/>
    </row>
    <row r="169" spans="5:17" ht="12.75" customHeight="1">
      <c r="E169" s="66"/>
      <c r="F169" s="66"/>
      <c r="G169" s="66"/>
      <c r="H169" s="66"/>
      <c r="I169" s="66"/>
      <c r="J169" s="66"/>
      <c r="K169" s="66"/>
      <c r="L169" s="66"/>
      <c r="M169" s="66"/>
      <c r="N169" s="66"/>
      <c r="O169" s="66"/>
      <c r="P169" s="66"/>
      <c r="Q169" s="66"/>
    </row>
    <row r="170" spans="5:17" ht="12.75" customHeight="1">
      <c r="E170" s="66"/>
      <c r="F170" s="66"/>
      <c r="G170" s="66"/>
      <c r="H170" s="66"/>
      <c r="I170" s="66"/>
      <c r="J170" s="66"/>
      <c r="K170" s="66"/>
      <c r="L170" s="66"/>
      <c r="M170" s="66"/>
      <c r="N170" s="66"/>
      <c r="O170" s="66"/>
      <c r="P170" s="66"/>
      <c r="Q170" s="66"/>
    </row>
    <row r="171" spans="5:17" ht="12.75" customHeight="1">
      <c r="E171" s="66"/>
      <c r="F171" s="66"/>
      <c r="G171" s="66"/>
      <c r="H171" s="66"/>
      <c r="I171" s="66"/>
      <c r="J171" s="66"/>
      <c r="K171" s="66"/>
      <c r="L171" s="66"/>
      <c r="M171" s="66"/>
      <c r="N171" s="66"/>
      <c r="O171" s="66"/>
      <c r="P171" s="66"/>
      <c r="Q171" s="66"/>
    </row>
    <row r="172" spans="5:17" ht="12.75" customHeight="1">
      <c r="E172" s="66"/>
      <c r="F172" s="66"/>
      <c r="G172" s="66"/>
      <c r="H172" s="66"/>
      <c r="I172" s="66"/>
      <c r="J172" s="66"/>
      <c r="K172" s="66"/>
      <c r="L172" s="66"/>
      <c r="M172" s="66"/>
      <c r="N172" s="66"/>
      <c r="O172" s="66"/>
      <c r="P172" s="66"/>
      <c r="Q172" s="66"/>
    </row>
    <row r="173" spans="5:17" ht="12.75" customHeight="1">
      <c r="E173" s="66"/>
      <c r="F173" s="66"/>
      <c r="G173" s="66"/>
      <c r="H173" s="66"/>
      <c r="I173" s="66"/>
      <c r="J173" s="66"/>
      <c r="K173" s="66"/>
      <c r="L173" s="66"/>
      <c r="M173" s="66"/>
      <c r="N173" s="66"/>
      <c r="O173" s="66"/>
      <c r="P173" s="66"/>
      <c r="Q173" s="66"/>
    </row>
    <row r="174" spans="5:17" ht="12.75" customHeight="1">
      <c r="E174" s="66"/>
      <c r="F174" s="66"/>
      <c r="G174" s="66"/>
      <c r="H174" s="66"/>
      <c r="I174" s="66"/>
      <c r="J174" s="66"/>
      <c r="K174" s="66"/>
      <c r="L174" s="66"/>
      <c r="M174" s="66"/>
      <c r="N174" s="66"/>
      <c r="O174" s="66"/>
      <c r="P174" s="66"/>
      <c r="Q174" s="66"/>
    </row>
    <row r="175" spans="5:17" ht="12.75" customHeight="1">
      <c r="E175" s="66"/>
      <c r="F175" s="66"/>
      <c r="G175" s="66"/>
      <c r="H175" s="66"/>
      <c r="I175" s="66"/>
      <c r="J175" s="66"/>
      <c r="K175" s="66"/>
      <c r="L175" s="66"/>
      <c r="M175" s="66"/>
      <c r="N175" s="66"/>
      <c r="O175" s="66"/>
      <c r="P175" s="66"/>
      <c r="Q175" s="66"/>
    </row>
    <row r="176" spans="5:17" ht="12.75" customHeight="1">
      <c r="E176" s="66"/>
      <c r="F176" s="66"/>
      <c r="G176" s="66"/>
      <c r="H176" s="66"/>
      <c r="I176" s="66"/>
      <c r="J176" s="66"/>
      <c r="K176" s="66"/>
      <c r="L176" s="66"/>
      <c r="M176" s="66"/>
      <c r="N176" s="66"/>
      <c r="O176" s="66"/>
      <c r="P176" s="66"/>
      <c r="Q176" s="66"/>
    </row>
    <row r="177" spans="5:17" ht="12.75" customHeight="1">
      <c r="E177" s="66"/>
      <c r="F177" s="66"/>
      <c r="G177" s="66"/>
      <c r="H177" s="66"/>
      <c r="I177" s="66"/>
      <c r="J177" s="66"/>
      <c r="K177" s="66"/>
      <c r="L177" s="66"/>
      <c r="M177" s="66"/>
      <c r="N177" s="66"/>
      <c r="O177" s="66"/>
      <c r="P177" s="66"/>
      <c r="Q177" s="66"/>
    </row>
    <row r="178" spans="5:17" ht="12.75" customHeight="1">
      <c r="E178" s="66"/>
      <c r="F178" s="66"/>
      <c r="G178" s="66"/>
      <c r="H178" s="66"/>
      <c r="I178" s="66"/>
      <c r="J178" s="66"/>
      <c r="K178" s="66"/>
      <c r="L178" s="66"/>
      <c r="M178" s="66"/>
      <c r="N178" s="66"/>
      <c r="O178" s="66"/>
      <c r="P178" s="66"/>
      <c r="Q178" s="66"/>
    </row>
    <row r="179" spans="5:17" ht="12.75" customHeight="1">
      <c r="E179" s="66"/>
      <c r="F179" s="66"/>
      <c r="G179" s="66"/>
      <c r="H179" s="66"/>
      <c r="I179" s="66"/>
      <c r="J179" s="66"/>
      <c r="K179" s="66"/>
      <c r="L179" s="66"/>
      <c r="M179" s="66"/>
      <c r="N179" s="66"/>
      <c r="O179" s="66"/>
      <c r="P179" s="66"/>
      <c r="Q179" s="66"/>
    </row>
    <row r="180" spans="5:17" ht="12.75" customHeight="1">
      <c r="E180" s="66"/>
      <c r="F180" s="66"/>
      <c r="G180" s="66"/>
      <c r="H180" s="66"/>
      <c r="I180" s="66"/>
      <c r="J180" s="66"/>
      <c r="K180" s="66"/>
      <c r="L180" s="66"/>
      <c r="M180" s="66"/>
      <c r="N180" s="66"/>
      <c r="O180" s="66"/>
      <c r="P180" s="66"/>
      <c r="Q180" s="66"/>
    </row>
    <row r="181" spans="5:17" ht="12.75" customHeight="1">
      <c r="E181" s="66"/>
      <c r="F181" s="66"/>
      <c r="G181" s="66"/>
      <c r="H181" s="66"/>
      <c r="I181" s="66"/>
      <c r="J181" s="66"/>
      <c r="K181" s="66"/>
      <c r="L181" s="66"/>
      <c r="M181" s="66"/>
      <c r="N181" s="66"/>
      <c r="O181" s="66"/>
      <c r="P181" s="66"/>
      <c r="Q181" s="66"/>
    </row>
    <row r="182" spans="5:17" ht="12.75" customHeight="1">
      <c r="E182" s="66"/>
      <c r="F182" s="66"/>
      <c r="G182" s="66"/>
      <c r="H182" s="66"/>
      <c r="I182" s="66"/>
      <c r="J182" s="66"/>
      <c r="K182" s="66"/>
      <c r="L182" s="66"/>
      <c r="M182" s="66"/>
      <c r="N182" s="66"/>
      <c r="O182" s="66"/>
      <c r="P182" s="66"/>
      <c r="Q182" s="66"/>
    </row>
    <row r="183" spans="5:17" ht="12.75" customHeight="1">
      <c r="E183" s="66"/>
      <c r="F183" s="66"/>
      <c r="G183" s="66"/>
      <c r="H183" s="66"/>
      <c r="I183" s="66"/>
      <c r="J183" s="66"/>
      <c r="K183" s="66"/>
      <c r="L183" s="66"/>
      <c r="M183" s="66"/>
      <c r="N183" s="66"/>
      <c r="O183" s="66"/>
      <c r="P183" s="66"/>
      <c r="Q183" s="66"/>
    </row>
    <row r="184" spans="5:17" ht="12.75" customHeight="1">
      <c r="E184" s="66"/>
      <c r="F184" s="66"/>
      <c r="G184" s="66"/>
      <c r="H184" s="66"/>
      <c r="I184" s="66"/>
      <c r="J184" s="66"/>
      <c r="K184" s="66"/>
      <c r="L184" s="66"/>
      <c r="M184" s="66"/>
      <c r="N184" s="66"/>
      <c r="O184" s="66"/>
      <c r="P184" s="66"/>
      <c r="Q184" s="66"/>
    </row>
    <row r="185" spans="5:17" ht="12.75" customHeight="1">
      <c r="E185" s="66"/>
      <c r="F185" s="66"/>
      <c r="G185" s="66"/>
      <c r="H185" s="66"/>
      <c r="I185" s="66"/>
      <c r="J185" s="66"/>
      <c r="K185" s="66"/>
      <c r="L185" s="66"/>
      <c r="M185" s="66"/>
      <c r="N185" s="66"/>
      <c r="O185" s="66"/>
      <c r="P185" s="66"/>
      <c r="Q185" s="66"/>
    </row>
    <row r="186" spans="5:17" ht="12.75" customHeight="1">
      <c r="E186" s="66"/>
      <c r="F186" s="66"/>
      <c r="G186" s="66"/>
      <c r="H186" s="66"/>
      <c r="I186" s="66"/>
      <c r="J186" s="66"/>
      <c r="K186" s="66"/>
      <c r="L186" s="66"/>
      <c r="M186" s="66"/>
      <c r="N186" s="66"/>
      <c r="O186" s="66"/>
      <c r="P186" s="66"/>
      <c r="Q186" s="66"/>
    </row>
    <row r="187" spans="5:17" ht="12.75" customHeight="1">
      <c r="E187" s="66"/>
      <c r="F187" s="66"/>
      <c r="G187" s="66"/>
      <c r="H187" s="66"/>
      <c r="I187" s="66"/>
      <c r="J187" s="66"/>
      <c r="K187" s="66"/>
      <c r="L187" s="66"/>
      <c r="M187" s="66"/>
      <c r="N187" s="66"/>
      <c r="O187" s="66"/>
      <c r="P187" s="66"/>
      <c r="Q187" s="66"/>
    </row>
    <row r="188" spans="5:17" ht="12.75" customHeight="1">
      <c r="E188" s="66"/>
      <c r="F188" s="66"/>
      <c r="G188" s="66"/>
      <c r="H188" s="66"/>
      <c r="I188" s="66"/>
      <c r="J188" s="66"/>
      <c r="K188" s="66"/>
      <c r="L188" s="66"/>
      <c r="M188" s="66"/>
      <c r="N188" s="66"/>
      <c r="O188" s="66"/>
      <c r="P188" s="66"/>
      <c r="Q188" s="66"/>
    </row>
    <row r="189" spans="5:17" ht="12.75" customHeight="1">
      <c r="E189" s="66"/>
      <c r="F189" s="66"/>
      <c r="G189" s="66"/>
      <c r="H189" s="66"/>
      <c r="I189" s="66"/>
      <c r="J189" s="66"/>
      <c r="K189" s="66"/>
      <c r="L189" s="66"/>
      <c r="M189" s="66"/>
      <c r="N189" s="66"/>
      <c r="O189" s="66"/>
      <c r="P189" s="66"/>
      <c r="Q189" s="66"/>
    </row>
    <row r="190" spans="5:17" ht="12.75" customHeight="1">
      <c r="E190" s="66"/>
      <c r="F190" s="66"/>
      <c r="G190" s="66"/>
      <c r="H190" s="66"/>
      <c r="I190" s="66"/>
      <c r="J190" s="66"/>
      <c r="K190" s="66"/>
      <c r="L190" s="66"/>
      <c r="M190" s="66"/>
      <c r="N190" s="66"/>
      <c r="O190" s="66"/>
      <c r="P190" s="66"/>
      <c r="Q190" s="66"/>
    </row>
    <row r="191" spans="5:17" ht="12.75" customHeight="1">
      <c r="E191" s="66"/>
      <c r="F191" s="66"/>
      <c r="G191" s="66"/>
      <c r="H191" s="66"/>
      <c r="I191" s="66"/>
      <c r="J191" s="66"/>
      <c r="K191" s="66"/>
      <c r="L191" s="66"/>
      <c r="M191" s="66"/>
      <c r="N191" s="66"/>
      <c r="O191" s="66"/>
      <c r="P191" s="66"/>
      <c r="Q191" s="66"/>
    </row>
    <row r="192" spans="5:17" ht="12.75" customHeight="1">
      <c r="E192" s="66"/>
      <c r="F192" s="66"/>
      <c r="G192" s="66"/>
      <c r="H192" s="66"/>
      <c r="I192" s="66"/>
      <c r="J192" s="66"/>
      <c r="K192" s="66"/>
      <c r="L192" s="66"/>
      <c r="M192" s="66"/>
      <c r="N192" s="66"/>
      <c r="O192" s="66"/>
      <c r="P192" s="66"/>
      <c r="Q192" s="66"/>
    </row>
    <row r="193" spans="5:17" ht="12.75" customHeight="1">
      <c r="E193" s="66"/>
      <c r="F193" s="66"/>
      <c r="G193" s="66"/>
      <c r="H193" s="66"/>
      <c r="I193" s="66"/>
      <c r="J193" s="66"/>
      <c r="K193" s="66"/>
      <c r="L193" s="66"/>
      <c r="M193" s="66"/>
      <c r="N193" s="66"/>
      <c r="O193" s="66"/>
      <c r="P193" s="66"/>
      <c r="Q193" s="66"/>
    </row>
    <row r="194" spans="5:17" ht="12.75" customHeight="1">
      <c r="E194" s="66"/>
      <c r="F194" s="66"/>
      <c r="G194" s="66"/>
      <c r="H194" s="66"/>
      <c r="I194" s="66"/>
      <c r="J194" s="66"/>
      <c r="K194" s="66"/>
      <c r="L194" s="66"/>
      <c r="M194" s="66"/>
      <c r="N194" s="66"/>
      <c r="O194" s="66"/>
      <c r="P194" s="66"/>
      <c r="Q194" s="66"/>
    </row>
    <row r="195" spans="5:17" ht="12.75" customHeight="1">
      <c r="E195" s="66"/>
      <c r="F195" s="66"/>
      <c r="G195" s="66"/>
      <c r="H195" s="66"/>
      <c r="I195" s="66"/>
      <c r="J195" s="66"/>
      <c r="K195" s="66"/>
      <c r="L195" s="66"/>
      <c r="M195" s="66"/>
      <c r="N195" s="66"/>
      <c r="O195" s="66"/>
      <c r="P195" s="66"/>
      <c r="Q195" s="66"/>
    </row>
    <row r="196" spans="5:17" ht="12.75" customHeight="1">
      <c r="E196" s="66"/>
      <c r="F196" s="66"/>
      <c r="G196" s="66"/>
      <c r="H196" s="66"/>
      <c r="I196" s="66"/>
      <c r="J196" s="66"/>
      <c r="K196" s="66"/>
      <c r="L196" s="66"/>
      <c r="M196" s="66"/>
      <c r="N196" s="66"/>
      <c r="O196" s="66"/>
      <c r="P196" s="66"/>
      <c r="Q196" s="66"/>
    </row>
    <row r="197" spans="5:17" ht="12.75" customHeight="1">
      <c r="E197" s="66"/>
      <c r="F197" s="66"/>
      <c r="G197" s="66"/>
      <c r="H197" s="66"/>
      <c r="I197" s="66"/>
      <c r="J197" s="66"/>
      <c r="K197" s="66"/>
      <c r="L197" s="66"/>
      <c r="M197" s="66"/>
      <c r="N197" s="66"/>
      <c r="O197" s="66"/>
      <c r="P197" s="66"/>
      <c r="Q197" s="66"/>
    </row>
    <row r="198" spans="5:17" ht="12.75" customHeight="1">
      <c r="E198" s="66"/>
      <c r="F198" s="66"/>
      <c r="G198" s="66"/>
      <c r="H198" s="66"/>
      <c r="I198" s="66"/>
      <c r="J198" s="66"/>
      <c r="K198" s="66"/>
      <c r="L198" s="66"/>
      <c r="M198" s="66"/>
      <c r="N198" s="66"/>
      <c r="O198" s="66"/>
      <c r="P198" s="66"/>
      <c r="Q198" s="66"/>
    </row>
    <row r="199" spans="5:17" ht="12.75" customHeight="1">
      <c r="E199" s="66"/>
      <c r="F199" s="66"/>
      <c r="G199" s="66"/>
      <c r="H199" s="66"/>
      <c r="I199" s="66"/>
      <c r="J199" s="66"/>
      <c r="K199" s="66"/>
      <c r="L199" s="66"/>
      <c r="M199" s="66"/>
      <c r="N199" s="66"/>
      <c r="O199" s="66"/>
      <c r="P199" s="66"/>
      <c r="Q199" s="66"/>
    </row>
    <row r="200" spans="5:17" ht="12.75" customHeight="1">
      <c r="E200" s="66"/>
      <c r="F200" s="66"/>
      <c r="G200" s="66"/>
      <c r="H200" s="66"/>
      <c r="I200" s="66"/>
      <c r="J200" s="66"/>
      <c r="K200" s="66"/>
      <c r="L200" s="66"/>
      <c r="M200" s="66"/>
      <c r="N200" s="66"/>
      <c r="O200" s="66"/>
      <c r="P200" s="66"/>
      <c r="Q200" s="66"/>
    </row>
    <row r="201" spans="5:17" ht="12.75" customHeight="1">
      <c r="E201" s="66"/>
      <c r="F201" s="66"/>
      <c r="G201" s="66"/>
      <c r="H201" s="66"/>
      <c r="I201" s="66"/>
      <c r="J201" s="66"/>
      <c r="K201" s="66"/>
      <c r="L201" s="66"/>
      <c r="M201" s="66"/>
      <c r="N201" s="66"/>
      <c r="O201" s="66"/>
      <c r="P201" s="66"/>
      <c r="Q201" s="66"/>
    </row>
    <row r="202" spans="5:17" ht="12.75" customHeight="1">
      <c r="E202" s="66"/>
      <c r="F202" s="66"/>
      <c r="G202" s="66"/>
      <c r="H202" s="66"/>
      <c r="I202" s="66"/>
      <c r="J202" s="66"/>
      <c r="K202" s="66"/>
      <c r="L202" s="66"/>
      <c r="M202" s="66"/>
      <c r="N202" s="66"/>
      <c r="O202" s="66"/>
      <c r="P202" s="66"/>
      <c r="Q202" s="66"/>
    </row>
    <row r="203" spans="5:17" ht="12.75" customHeight="1">
      <c r="E203" s="66"/>
      <c r="F203" s="66"/>
      <c r="G203" s="66"/>
      <c r="H203" s="66"/>
      <c r="I203" s="66"/>
      <c r="J203" s="66"/>
      <c r="K203" s="66"/>
      <c r="L203" s="66"/>
      <c r="M203" s="66"/>
      <c r="N203" s="66"/>
      <c r="O203" s="66"/>
      <c r="P203" s="66"/>
      <c r="Q203" s="66"/>
    </row>
    <row r="204" spans="5:17" ht="12.75" customHeight="1">
      <c r="E204" s="66"/>
      <c r="F204" s="66"/>
      <c r="G204" s="66"/>
      <c r="H204" s="66"/>
      <c r="I204" s="66"/>
      <c r="J204" s="66"/>
      <c r="K204" s="66"/>
      <c r="L204" s="66"/>
      <c r="M204" s="66"/>
      <c r="N204" s="66"/>
      <c r="O204" s="66"/>
      <c r="P204" s="66"/>
      <c r="Q204" s="66"/>
    </row>
    <row r="205" spans="5:17" ht="12.75" customHeight="1">
      <c r="E205" s="66"/>
      <c r="F205" s="66"/>
      <c r="G205" s="66"/>
      <c r="H205" s="66"/>
      <c r="I205" s="66"/>
      <c r="J205" s="66"/>
      <c r="K205" s="66"/>
      <c r="L205" s="66"/>
      <c r="M205" s="66"/>
      <c r="N205" s="66"/>
      <c r="O205" s="66"/>
      <c r="P205" s="66"/>
      <c r="Q205" s="66"/>
    </row>
    <row r="206" spans="5:17" ht="12.75" customHeight="1">
      <c r="E206" s="66"/>
      <c r="F206" s="66"/>
      <c r="G206" s="66"/>
      <c r="H206" s="66"/>
      <c r="I206" s="66"/>
      <c r="J206" s="66"/>
      <c r="K206" s="66"/>
      <c r="L206" s="66"/>
      <c r="M206" s="66"/>
      <c r="N206" s="66"/>
      <c r="O206" s="66"/>
      <c r="P206" s="66"/>
      <c r="Q206" s="66"/>
    </row>
    <row r="207" spans="5:17" ht="12.75" customHeight="1">
      <c r="E207" s="66"/>
      <c r="F207" s="66"/>
      <c r="G207" s="66"/>
      <c r="H207" s="66"/>
      <c r="I207" s="66"/>
      <c r="J207" s="66"/>
      <c r="K207" s="66"/>
      <c r="L207" s="66"/>
      <c r="M207" s="66"/>
      <c r="N207" s="66"/>
      <c r="O207" s="66"/>
      <c r="P207" s="66"/>
      <c r="Q207" s="66"/>
    </row>
    <row r="208" spans="5:17" ht="12.75" customHeight="1">
      <c r="E208" s="66"/>
      <c r="F208" s="66"/>
      <c r="G208" s="66"/>
      <c r="H208" s="66"/>
      <c r="I208" s="66"/>
      <c r="J208" s="66"/>
      <c r="K208" s="66"/>
      <c r="L208" s="66"/>
      <c r="M208" s="66"/>
      <c r="N208" s="66"/>
      <c r="O208" s="66"/>
      <c r="P208" s="66"/>
      <c r="Q208" s="66"/>
    </row>
    <row r="209" spans="5:17" ht="12.75" customHeight="1">
      <c r="E209" s="66"/>
      <c r="F209" s="66"/>
      <c r="G209" s="66"/>
      <c r="H209" s="66"/>
      <c r="I209" s="66"/>
      <c r="J209" s="66"/>
      <c r="K209" s="66"/>
      <c r="L209" s="66"/>
      <c r="M209" s="66"/>
      <c r="N209" s="66"/>
      <c r="O209" s="66"/>
      <c r="P209" s="66"/>
      <c r="Q209" s="66"/>
    </row>
    <row r="210" spans="5:17" ht="12.75" customHeight="1">
      <c r="E210" s="66"/>
      <c r="F210" s="66"/>
      <c r="G210" s="66"/>
      <c r="H210" s="66"/>
      <c r="I210" s="66"/>
      <c r="J210" s="66"/>
      <c r="K210" s="66"/>
      <c r="L210" s="66"/>
      <c r="M210" s="66"/>
      <c r="N210" s="66"/>
      <c r="O210" s="66"/>
      <c r="P210" s="66"/>
      <c r="Q210" s="66"/>
    </row>
    <row r="211" spans="5:17" ht="12.75" customHeight="1">
      <c r="E211" s="66"/>
      <c r="F211" s="66"/>
      <c r="G211" s="66"/>
      <c r="H211" s="66"/>
      <c r="I211" s="66"/>
      <c r="J211" s="66"/>
      <c r="K211" s="66"/>
      <c r="L211" s="66"/>
      <c r="M211" s="66"/>
      <c r="N211" s="66"/>
      <c r="O211" s="66"/>
      <c r="P211" s="66"/>
      <c r="Q211" s="66"/>
    </row>
    <row r="212" spans="5:17" ht="12.75" customHeight="1">
      <c r="E212" s="66"/>
      <c r="F212" s="66"/>
      <c r="G212" s="66"/>
      <c r="H212" s="66"/>
      <c r="I212" s="66"/>
      <c r="J212" s="66"/>
      <c r="K212" s="66"/>
      <c r="L212" s="66"/>
      <c r="M212" s="66"/>
      <c r="N212" s="66"/>
      <c r="O212" s="66"/>
      <c r="P212" s="66"/>
      <c r="Q212" s="66"/>
    </row>
    <row r="213" spans="5:17" ht="12.75" customHeight="1">
      <c r="E213" s="66"/>
      <c r="F213" s="66"/>
      <c r="G213" s="66"/>
      <c r="H213" s="66"/>
      <c r="I213" s="66"/>
      <c r="J213" s="66"/>
      <c r="K213" s="66"/>
      <c r="L213" s="66"/>
      <c r="M213" s="66"/>
      <c r="N213" s="66"/>
      <c r="O213" s="66"/>
      <c r="P213" s="66"/>
      <c r="Q213" s="66"/>
    </row>
    <row r="214" spans="5:17" ht="12.75" customHeight="1">
      <c r="E214" s="66"/>
      <c r="F214" s="66"/>
      <c r="G214" s="66"/>
      <c r="H214" s="66"/>
      <c r="I214" s="66"/>
      <c r="J214" s="66"/>
      <c r="K214" s="66"/>
      <c r="L214" s="66"/>
      <c r="M214" s="66"/>
      <c r="N214" s="66"/>
      <c r="O214" s="66"/>
      <c r="P214" s="66"/>
      <c r="Q214" s="66"/>
    </row>
    <row r="215" spans="5:17" ht="12.75" customHeight="1">
      <c r="E215" s="66"/>
      <c r="F215" s="66"/>
      <c r="G215" s="66"/>
      <c r="H215" s="66"/>
      <c r="I215" s="66"/>
      <c r="J215" s="66"/>
      <c r="K215" s="66"/>
      <c r="L215" s="66"/>
      <c r="M215" s="66"/>
      <c r="N215" s="66"/>
      <c r="O215" s="66"/>
      <c r="P215" s="66"/>
      <c r="Q215" s="66"/>
    </row>
    <row r="216" spans="5:17" ht="12.75" customHeight="1">
      <c r="E216" s="66"/>
      <c r="F216" s="66"/>
      <c r="G216" s="66"/>
      <c r="H216" s="66"/>
      <c r="I216" s="66"/>
      <c r="J216" s="66"/>
      <c r="K216" s="66"/>
      <c r="L216" s="66"/>
      <c r="M216" s="66"/>
      <c r="N216" s="66"/>
      <c r="O216" s="66"/>
      <c r="P216" s="66"/>
      <c r="Q216" s="66"/>
    </row>
    <row r="217" spans="5:17" ht="12.75" customHeight="1">
      <c r="E217" s="66"/>
      <c r="F217" s="66"/>
      <c r="G217" s="66"/>
      <c r="H217" s="66"/>
      <c r="I217" s="66"/>
      <c r="J217" s="66"/>
      <c r="K217" s="66"/>
      <c r="L217" s="66"/>
      <c r="M217" s="66"/>
      <c r="N217" s="66"/>
      <c r="O217" s="66"/>
      <c r="P217" s="66"/>
      <c r="Q217" s="66"/>
    </row>
    <row r="218" spans="5:17" ht="12.75" customHeight="1">
      <c r="E218" s="66"/>
      <c r="F218" s="66"/>
      <c r="G218" s="66"/>
      <c r="H218" s="66"/>
      <c r="I218" s="66"/>
      <c r="J218" s="66"/>
      <c r="K218" s="66"/>
      <c r="L218" s="66"/>
      <c r="M218" s="66"/>
      <c r="N218" s="66"/>
      <c r="O218" s="66"/>
      <c r="P218" s="66"/>
      <c r="Q218" s="66"/>
    </row>
    <row r="219" spans="5:17" ht="12.75" customHeight="1">
      <c r="E219" s="66"/>
      <c r="F219" s="66"/>
      <c r="G219" s="66"/>
      <c r="H219" s="66"/>
      <c r="I219" s="66"/>
      <c r="J219" s="66"/>
      <c r="K219" s="66"/>
      <c r="L219" s="66"/>
      <c r="M219" s="66"/>
      <c r="N219" s="66"/>
      <c r="O219" s="66"/>
      <c r="P219" s="66"/>
      <c r="Q219" s="66"/>
    </row>
    <row r="220" spans="5:17" ht="12.75" customHeight="1">
      <c r="E220" s="66"/>
      <c r="F220" s="66"/>
      <c r="G220" s="66"/>
      <c r="H220" s="66"/>
      <c r="I220" s="66"/>
      <c r="J220" s="66"/>
      <c r="K220" s="66"/>
      <c r="L220" s="66"/>
      <c r="M220" s="66"/>
      <c r="N220" s="66"/>
      <c r="O220" s="66"/>
      <c r="P220" s="66"/>
      <c r="Q220" s="66"/>
    </row>
    <row r="221" spans="5:17" ht="12.75" customHeight="1">
      <c r="E221" s="66"/>
      <c r="F221" s="66"/>
      <c r="G221" s="66"/>
      <c r="H221" s="66"/>
      <c r="I221" s="66"/>
      <c r="J221" s="66"/>
      <c r="K221" s="66"/>
      <c r="L221" s="66"/>
      <c r="M221" s="66"/>
      <c r="N221" s="66"/>
      <c r="O221" s="66"/>
      <c r="P221" s="66"/>
      <c r="Q221" s="66"/>
    </row>
    <row r="222" spans="5:17" ht="12.75" customHeight="1">
      <c r="E222" s="66"/>
      <c r="F222" s="66"/>
      <c r="G222" s="66"/>
      <c r="H222" s="66"/>
      <c r="I222" s="66"/>
      <c r="J222" s="66"/>
      <c r="K222" s="66"/>
      <c r="L222" s="66"/>
      <c r="M222" s="66"/>
      <c r="N222" s="66"/>
      <c r="O222" s="66"/>
      <c r="P222" s="66"/>
      <c r="Q222" s="66"/>
    </row>
    <row r="223" spans="5:17" ht="12.75" customHeight="1">
      <c r="E223" s="66"/>
      <c r="F223" s="66"/>
      <c r="G223" s="66"/>
      <c r="H223" s="66"/>
      <c r="I223" s="66"/>
      <c r="J223" s="66"/>
      <c r="K223" s="66"/>
      <c r="L223" s="66"/>
      <c r="M223" s="66"/>
      <c r="N223" s="66"/>
      <c r="O223" s="66"/>
      <c r="P223" s="66"/>
      <c r="Q223" s="66"/>
    </row>
    <row r="224" spans="5:17" ht="12.75" customHeight="1">
      <c r="E224" s="66"/>
      <c r="F224" s="66"/>
      <c r="G224" s="66"/>
      <c r="H224" s="66"/>
      <c r="I224" s="66"/>
      <c r="J224" s="66"/>
      <c r="K224" s="66"/>
      <c r="L224" s="66"/>
      <c r="M224" s="66"/>
      <c r="N224" s="66"/>
      <c r="O224" s="66"/>
      <c r="P224" s="66"/>
      <c r="Q224" s="66"/>
    </row>
    <row r="225" spans="5:17" ht="12.75" customHeight="1">
      <c r="E225" s="66"/>
      <c r="F225" s="66"/>
      <c r="G225" s="66"/>
      <c r="H225" s="66"/>
      <c r="I225" s="66"/>
      <c r="J225" s="66"/>
      <c r="K225" s="66"/>
      <c r="L225" s="66"/>
      <c r="M225" s="66"/>
      <c r="N225" s="66"/>
      <c r="O225" s="66"/>
      <c r="P225" s="66"/>
      <c r="Q225" s="66"/>
    </row>
    <row r="226" spans="5:17" ht="12.75" customHeight="1">
      <c r="E226" s="66"/>
      <c r="F226" s="66"/>
      <c r="G226" s="66"/>
      <c r="H226" s="66"/>
      <c r="I226" s="66"/>
      <c r="J226" s="66"/>
      <c r="K226" s="66"/>
      <c r="L226" s="66"/>
      <c r="M226" s="66"/>
      <c r="N226" s="66"/>
      <c r="O226" s="66"/>
      <c r="P226" s="66"/>
      <c r="Q226" s="66"/>
    </row>
    <row r="227" spans="5:17" ht="12.75" customHeight="1">
      <c r="E227" s="66"/>
      <c r="F227" s="66"/>
      <c r="G227" s="66"/>
      <c r="H227" s="66"/>
      <c r="I227" s="66"/>
      <c r="J227" s="66"/>
      <c r="K227" s="66"/>
      <c r="L227" s="66"/>
      <c r="M227" s="66"/>
      <c r="N227" s="66"/>
      <c r="O227" s="66"/>
      <c r="P227" s="66"/>
      <c r="Q227" s="66"/>
    </row>
    <row r="228" spans="5:17" ht="12.75" customHeight="1">
      <c r="E228" s="66"/>
      <c r="F228" s="66"/>
      <c r="G228" s="66"/>
      <c r="H228" s="66"/>
      <c r="I228" s="66"/>
      <c r="J228" s="66"/>
      <c r="K228" s="66"/>
      <c r="L228" s="66"/>
      <c r="M228" s="66"/>
      <c r="N228" s="66"/>
      <c r="O228" s="66"/>
      <c r="P228" s="66"/>
      <c r="Q228" s="66"/>
    </row>
    <row r="229" spans="5:17" ht="12.75" customHeight="1">
      <c r="E229" s="66"/>
      <c r="F229" s="66"/>
      <c r="G229" s="66"/>
      <c r="H229" s="66"/>
      <c r="I229" s="66"/>
      <c r="J229" s="66"/>
      <c r="K229" s="66"/>
      <c r="L229" s="66"/>
      <c r="M229" s="66"/>
      <c r="N229" s="66"/>
      <c r="O229" s="66"/>
      <c r="P229" s="66"/>
      <c r="Q229" s="66"/>
    </row>
    <row r="230" spans="5:17" ht="12.75" customHeight="1">
      <c r="E230" s="66"/>
      <c r="F230" s="66"/>
      <c r="G230" s="66"/>
      <c r="H230" s="66"/>
      <c r="I230" s="66"/>
      <c r="J230" s="66"/>
      <c r="K230" s="66"/>
      <c r="L230" s="66"/>
      <c r="M230" s="66"/>
      <c r="N230" s="66"/>
      <c r="O230" s="66"/>
      <c r="P230" s="66"/>
      <c r="Q230" s="66"/>
    </row>
    <row r="231" spans="5:17" ht="12.75" customHeight="1">
      <c r="E231" s="66"/>
      <c r="F231" s="66"/>
      <c r="G231" s="66"/>
      <c r="H231" s="66"/>
      <c r="I231" s="66"/>
      <c r="J231" s="66"/>
      <c r="K231" s="66"/>
      <c r="L231" s="66"/>
      <c r="M231" s="66"/>
      <c r="N231" s="66"/>
      <c r="O231" s="66"/>
      <c r="P231" s="66"/>
      <c r="Q231" s="66"/>
    </row>
    <row r="232" spans="5:17" ht="12.75" customHeight="1">
      <c r="E232" s="66"/>
      <c r="F232" s="66"/>
      <c r="G232" s="66"/>
      <c r="H232" s="66"/>
      <c r="I232" s="66"/>
      <c r="J232" s="66"/>
      <c r="K232" s="66"/>
      <c r="L232" s="66"/>
      <c r="M232" s="66"/>
      <c r="N232" s="66"/>
      <c r="O232" s="66"/>
      <c r="P232" s="66"/>
      <c r="Q232" s="66"/>
    </row>
    <row r="233" spans="5:17" ht="12.75" customHeight="1">
      <c r="E233" s="66"/>
      <c r="F233" s="66"/>
      <c r="G233" s="66"/>
      <c r="H233" s="66"/>
      <c r="I233" s="66"/>
      <c r="J233" s="66"/>
      <c r="K233" s="66"/>
      <c r="L233" s="66"/>
      <c r="M233" s="66"/>
      <c r="N233" s="66"/>
      <c r="O233" s="66"/>
      <c r="P233" s="66"/>
      <c r="Q233" s="66"/>
    </row>
    <row r="234" spans="5:17" ht="12.75" customHeight="1">
      <c r="E234" s="66"/>
      <c r="F234" s="66"/>
      <c r="G234" s="66"/>
      <c r="H234" s="66"/>
      <c r="I234" s="66"/>
      <c r="J234" s="66"/>
      <c r="K234" s="66"/>
      <c r="L234" s="66"/>
      <c r="M234" s="66"/>
      <c r="N234" s="66"/>
      <c r="O234" s="66"/>
      <c r="P234" s="66"/>
      <c r="Q234" s="66"/>
    </row>
    <row r="235" spans="5:17" ht="12.75" customHeight="1">
      <c r="E235" s="66"/>
      <c r="F235" s="66"/>
      <c r="G235" s="66"/>
      <c r="H235" s="66"/>
      <c r="I235" s="66"/>
      <c r="J235" s="66"/>
      <c r="K235" s="66"/>
      <c r="L235" s="66"/>
      <c r="M235" s="66"/>
      <c r="N235" s="66"/>
      <c r="O235" s="66"/>
      <c r="P235" s="66"/>
      <c r="Q235" s="66"/>
    </row>
    <row r="236" spans="5:17" ht="12.75" customHeight="1">
      <c r="E236" s="66"/>
      <c r="F236" s="66"/>
      <c r="G236" s="66"/>
      <c r="H236" s="66"/>
      <c r="I236" s="66"/>
      <c r="J236" s="66"/>
      <c r="K236" s="66"/>
      <c r="L236" s="66"/>
      <c r="M236" s="66"/>
      <c r="N236" s="66"/>
      <c r="O236" s="66"/>
      <c r="P236" s="66"/>
      <c r="Q236" s="66"/>
    </row>
    <row r="237" spans="5:17" ht="12.75" customHeight="1">
      <c r="E237" s="66"/>
      <c r="F237" s="66"/>
      <c r="G237" s="66"/>
      <c r="H237" s="66"/>
      <c r="I237" s="66"/>
      <c r="J237" s="66"/>
      <c r="K237" s="66"/>
      <c r="L237" s="66"/>
      <c r="M237" s="66"/>
      <c r="N237" s="66"/>
      <c r="O237" s="66"/>
      <c r="P237" s="66"/>
      <c r="Q237" s="66"/>
    </row>
    <row r="238" spans="5:17" ht="12.75" customHeight="1">
      <c r="E238" s="66"/>
      <c r="F238" s="66"/>
      <c r="G238" s="66"/>
      <c r="H238" s="66"/>
      <c r="I238" s="66"/>
      <c r="J238" s="66"/>
      <c r="K238" s="66"/>
      <c r="L238" s="66"/>
      <c r="M238" s="66"/>
      <c r="N238" s="66"/>
      <c r="O238" s="66"/>
      <c r="P238" s="66"/>
      <c r="Q238" s="66"/>
    </row>
    <row r="239" spans="5:17" ht="12.75" customHeight="1">
      <c r="E239" s="66"/>
      <c r="F239" s="66"/>
      <c r="G239" s="66"/>
      <c r="H239" s="66"/>
      <c r="I239" s="66"/>
      <c r="J239" s="66"/>
      <c r="K239" s="66"/>
      <c r="L239" s="66"/>
      <c r="M239" s="66"/>
      <c r="N239" s="66"/>
      <c r="O239" s="66"/>
      <c r="P239" s="66"/>
      <c r="Q239" s="66"/>
    </row>
    <row r="240" spans="5:17" ht="12.75" customHeight="1">
      <c r="E240" s="66"/>
      <c r="F240" s="66"/>
      <c r="G240" s="66"/>
      <c r="H240" s="66"/>
      <c r="I240" s="66"/>
      <c r="J240" s="66"/>
      <c r="K240" s="66"/>
      <c r="L240" s="66"/>
      <c r="M240" s="66"/>
      <c r="N240" s="66"/>
      <c r="O240" s="66"/>
      <c r="P240" s="66"/>
      <c r="Q240" s="66"/>
    </row>
    <row r="241" spans="5:17" ht="12.75" customHeight="1">
      <c r="E241" s="66"/>
      <c r="F241" s="66"/>
      <c r="G241" s="66"/>
      <c r="H241" s="66"/>
      <c r="I241" s="66"/>
      <c r="J241" s="66"/>
      <c r="K241" s="66"/>
      <c r="L241" s="66"/>
      <c r="M241" s="66"/>
      <c r="N241" s="66"/>
      <c r="O241" s="66"/>
      <c r="P241" s="66"/>
      <c r="Q241" s="66"/>
    </row>
    <row r="242" spans="5:17" ht="12.75" customHeight="1">
      <c r="E242" s="66"/>
      <c r="F242" s="66"/>
      <c r="G242" s="66"/>
      <c r="H242" s="66"/>
      <c r="I242" s="66"/>
      <c r="J242" s="66"/>
      <c r="K242" s="66"/>
      <c r="L242" s="66"/>
      <c r="M242" s="66"/>
      <c r="N242" s="66"/>
      <c r="O242" s="66"/>
      <c r="P242" s="66"/>
      <c r="Q242" s="66"/>
    </row>
    <row r="243" spans="5:17" ht="12.75" customHeight="1">
      <c r="E243" s="66"/>
      <c r="F243" s="66"/>
      <c r="G243" s="66"/>
      <c r="H243" s="66"/>
      <c r="I243" s="66"/>
      <c r="J243" s="66"/>
      <c r="K243" s="66"/>
      <c r="L243" s="66"/>
      <c r="M243" s="66"/>
      <c r="N243" s="66"/>
      <c r="O243" s="66"/>
      <c r="P243" s="66"/>
      <c r="Q243" s="66"/>
    </row>
    <row r="244" spans="5:17" ht="12.75" customHeight="1">
      <c r="E244" s="66"/>
      <c r="F244" s="66"/>
      <c r="G244" s="66"/>
      <c r="H244" s="66"/>
      <c r="I244" s="66"/>
      <c r="J244" s="66"/>
      <c r="K244" s="66"/>
      <c r="L244" s="66"/>
      <c r="M244" s="66"/>
      <c r="N244" s="66"/>
      <c r="O244" s="66"/>
      <c r="P244" s="66"/>
      <c r="Q244" s="66"/>
    </row>
    <row r="245" spans="5:17" ht="12.75" customHeight="1">
      <c r="E245" s="66"/>
      <c r="F245" s="66"/>
      <c r="G245" s="66"/>
      <c r="H245" s="66"/>
      <c r="I245" s="66"/>
      <c r="J245" s="66"/>
      <c r="K245" s="66"/>
      <c r="L245" s="66"/>
      <c r="M245" s="66"/>
      <c r="N245" s="66"/>
      <c r="O245" s="66"/>
      <c r="P245" s="66"/>
      <c r="Q245" s="66"/>
    </row>
    <row r="246" spans="5:17" ht="12.75" customHeight="1">
      <c r="E246" s="66"/>
      <c r="F246" s="66"/>
      <c r="G246" s="66"/>
      <c r="H246" s="66"/>
      <c r="I246" s="66"/>
      <c r="J246" s="66"/>
      <c r="K246" s="66"/>
      <c r="L246" s="66"/>
      <c r="M246" s="66"/>
      <c r="N246" s="66"/>
      <c r="O246" s="66"/>
      <c r="P246" s="66"/>
      <c r="Q246" s="66"/>
    </row>
    <row r="247" spans="5:17" ht="12.75" customHeight="1">
      <c r="E247" s="66"/>
      <c r="F247" s="66"/>
      <c r="G247" s="66"/>
      <c r="H247" s="66"/>
      <c r="I247" s="66"/>
      <c r="J247" s="66"/>
      <c r="K247" s="66"/>
      <c r="L247" s="66"/>
      <c r="M247" s="66"/>
      <c r="N247" s="66"/>
      <c r="O247" s="66"/>
      <c r="P247" s="66"/>
      <c r="Q247" s="66"/>
    </row>
    <row r="248" spans="5:17" ht="12.75" customHeight="1">
      <c r="E248" s="66"/>
      <c r="F248" s="66"/>
      <c r="G248" s="66"/>
      <c r="H248" s="66"/>
      <c r="I248" s="66"/>
      <c r="J248" s="66"/>
      <c r="K248" s="66"/>
      <c r="L248" s="66"/>
      <c r="M248" s="66"/>
      <c r="N248" s="66"/>
      <c r="O248" s="66"/>
      <c r="P248" s="66"/>
      <c r="Q248" s="66"/>
    </row>
    <row r="249" spans="5:17" ht="12.75" customHeight="1">
      <c r="E249" s="66"/>
      <c r="F249" s="66"/>
      <c r="G249" s="66"/>
      <c r="H249" s="66"/>
      <c r="I249" s="66"/>
      <c r="J249" s="66"/>
      <c r="K249" s="66"/>
      <c r="L249" s="66"/>
      <c r="M249" s="66"/>
      <c r="N249" s="66"/>
      <c r="O249" s="66"/>
      <c r="P249" s="66"/>
      <c r="Q249" s="66"/>
    </row>
    <row r="250" spans="5:17" ht="15.75" customHeight="1"/>
    <row r="251" spans="5:17" ht="15.75" customHeight="1"/>
    <row r="252" spans="5:17" ht="15.75" customHeight="1"/>
    <row r="253" spans="5:17" ht="15.75" customHeight="1"/>
    <row r="254" spans="5:17" ht="15.75" customHeight="1"/>
    <row r="255" spans="5:17" ht="15.75" customHeight="1"/>
    <row r="256" spans="5: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S1"/>
    <mergeCell ref="C42:C43"/>
    <mergeCell ref="C44:C45"/>
    <mergeCell ref="A3:A9"/>
    <mergeCell ref="A19:A28"/>
    <mergeCell ref="B19:B28"/>
    <mergeCell ref="A29:A34"/>
    <mergeCell ref="B29:B34"/>
    <mergeCell ref="A46:D46"/>
    <mergeCell ref="B2:C2"/>
    <mergeCell ref="B3:B9"/>
    <mergeCell ref="C3:C9"/>
    <mergeCell ref="B10:B18"/>
    <mergeCell ref="C10:C11"/>
    <mergeCell ref="C12:C18"/>
    <mergeCell ref="A35:A41"/>
    <mergeCell ref="B35:B41"/>
    <mergeCell ref="B42:B45"/>
    <mergeCell ref="C19:C20"/>
    <mergeCell ref="C21:C22"/>
    <mergeCell ref="C23:C24"/>
    <mergeCell ref="C25:C26"/>
    <mergeCell ref="C38:C39"/>
  </mergeCells>
  <pageMargins left="0.70000000000000007" right="0.70000000000000007" top="0.75000000000000011" bottom="0.75000000000000011" header="0" footer="0"/>
  <pageSetup paperSize="9"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INSTRUCCIONES</vt:lpstr>
      <vt:lpstr>CALCULOS AUXILIARES</vt:lpstr>
      <vt:lpstr>Estimación de Costos Básica HR </vt:lpstr>
      <vt:lpstr>Estimación de Costos Avanzada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Salem</dc:creator>
  <cp:lastModifiedBy>pepe</cp:lastModifiedBy>
  <dcterms:created xsi:type="dcterms:W3CDTF">2020-11-25T01:59:38Z</dcterms:created>
  <dcterms:modified xsi:type="dcterms:W3CDTF">2026-08-26T05:15:21Z</dcterms:modified>
</cp:coreProperties>
</file>